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1-P2 Feature Backlog" sheetId="1" state="visible" r:id="rId3"/>
    <sheet name="Summary by Phase" sheetId="2" state="visible" r:id="rId4"/>
    <sheet name="P0 Completed (Reference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<sst xmlns="http://schemas.openxmlformats.org/spreadsheetml/2006/main" count="427" uniqueCount="352">
  <si>
    <t xml:space="preserve">RegOS — Deferred Features (P1 / P2 / Future)</t>
  </si>
  <si>
    <t xml:space="preserve">Post-meeting update (Mar 2, 2026). Items 4+5 merged into 3. GIS scope rewritten. Time-Decay deferred. API Exposure + NotebookLM Benchmark added.</t>
  </si>
  <si>
    <t xml:space="preserve">#</t>
  </si>
  <si>
    <t xml:space="preserve">Feature</t>
  </si>
  <si>
    <t xml:space="preserve">Phase</t>
  </si>
  <si>
    <t xml:space="preserve">Category</t>
  </si>
  <si>
    <t xml:space="preserve">Current State in P0</t>
  </si>
  <si>
    <t xml:space="preserve">What Was Planned</t>
  </si>
  <si>
    <t xml:space="preserve">Source Document</t>
  </si>
  <si>
    <t xml:space="preserve">Complexity</t>
  </si>
  <si>
    <t xml:space="preserve">Owner</t>
  </si>
  <si>
    <t xml:space="preserve">Task / Subtask</t>
  </si>
  <si>
    <t xml:space="preserve">Deadline</t>
  </si>
  <si>
    <t xml:space="preserve">Compliance Dashboard UI</t>
  </si>
  <si>
    <t xml:space="preserve">P2</t>
  </si>
  <si>
    <t xml:space="preserve">Frontend / Visualization</t>
  </si>
  <si>
    <t xml:space="preserve">Deprioritized. Replaced by SCADA Streaming API (v0.1.0) as primary integration point. No UI exists.</t>
  </si>
  <si>
    <t xml:space="preserve">Single-page dashboard showing: compliance status (green/amber/red), active breach alerts list, embedded RegOS chat interface, aggregated trend charts. Would consume data from threshold evaluation API, breach DB, and audit records.</t>
  </si>
  <si>
    <t xml:space="preserve">P0_Feature_Analysis.md (lines 163-186)
REGOS_CHANGELOG.md (line 297)</t>
  </si>
  <si>
    <t xml:space="preserve">Large</t>
  </si>
  <si>
    <t xml:space="preserve">Shreya</t>
  </si>
  <si>
    <t xml:space="preserve">• DO NOT TOUCH — Shreya leads UI/UX direction</t>
  </si>
  <si>
    <t xml:space="preserve">5th March
(direction from team)</t>
  </si>
  <si>
    <t xml:space="preserve">   ◦ Team to present UI direction by 5th March</t>
  </si>
  <si>
    <t xml:space="preserve">   ◦ Component library and button behaviors defined first</t>
  </si>
  <si>
    <t xml:space="preserve">   ◦ Simi + Amritpal assist with layout/mockups</t>
  </si>
  <si>
    <t xml:space="preserve">• After Shreya’s framework is ready:</t>
  </si>
  <si>
    <t xml:space="preserve">   ◦ Define data sources (breach DB, audit API, threshold API)</t>
  </si>
  <si>
    <t xml:space="preserve">   ◦ Build compliance status page</t>
  </si>
  <si>
    <t xml:space="preserve">   ◦ Connect to SCADA SSE stream for real-time updates</t>
  </si>
  <si>
    <t xml:space="preserve">Chat-Based Audit Query Interface</t>
  </si>
  <si>
    <t xml:space="preserve">Audit / UX</t>
  </si>
  <si>
    <t xml:space="preserve">Basic REST API exists (GET /api/audit/records with query_id, user_id, date_range filters). Terminal/API-only access.</t>
  </si>
  <si>
    <t xml:space="preserve">Full conversational interface for querying audit logs. Users would ask natural-language questions like “Show me all escalated queries from last week” and get structured results in the chat. Would require a dedicated Open WebUI Tool or Pipe that queries the audit SQLite DB.</t>
  </si>
  <si>
    <t xml:space="preserve">P0_Feature_Analysis.md (line 154)</t>
  </si>
  <si>
    <t xml:space="preserve">Medium</t>
  </si>
  <si>
    <t xml:space="preserve">Anmol</t>
  </si>
  <si>
    <t xml:space="preserve">• Create Open WebUI Tool/Pipe for audit DB queries</t>
  </si>
  <si>
    <t xml:space="preserve">TBD (P2)</t>
  </si>
  <si>
    <t xml:space="preserve">   ◦ Define supported query types (by date, user, escalation status)</t>
  </si>
  <si>
    <t xml:space="preserve">   ◦ Build SQLite query builder from natural language</t>
  </si>
  <si>
    <t xml:space="preserve">   ◦ Format results as structured chat response</t>
  </si>
  <si>
    <t xml:space="preserve">• Add date range, user, and query_id filters</t>
  </si>
  <si>
    <t xml:space="preserve">• Test with sample queries (“show escalated queries last week”)</t>
  </si>
  <si>
    <t xml:space="preserve">• Register as a Tool in Open WebUI admin</t>
  </si>
  <si>
    <t xml:space="preserve">Escalation Workflow (Manual Trigger + Resolution + Routing)</t>
  </si>
  <si>
    <t xml:space="preserve">P1</t>
  </si>
  <si>
    <t xml:space="preserve">Escalation Workflow</t>
  </si>
  <si>
    <t xml:space="preserve">Only automatic escalation exists (confidence &lt; 0.65). Cases go to n8n webhook but never come back as resolved. n8n Branch 1 ends with No-Op placeholder. Response captured but not displayed to users.</t>
  </si>
  <si>
    <t xml:space="preserve">Two-phase approach. Phase 1: simple email escalation button (font-awesome icon next to thumbs up/TTS in response subtext panel) that emails sysadmin1@regos.ai with chat context. Uses chat_ID for traceability. Phase 2: full Jira integration (3 free seats, lifetime) — push entire chat context + form + relevant docs into Jira helpdesk. Case lifecycle: Open → In Review → Resolved → Closed. Display resolution status back to user via status API.</t>
  </si>
  <si>
    <t xml:space="preserve">REGOS_CHANGELOG.md (lines 257, 259)
N8N_ESCALATION_SETUP.md (lines 205, 207-216)</t>
  </si>
  <si>
    <t xml:space="preserve">• Phase 1: Email escalation button</t>
  </si>
  <si>
    <t xml:space="preserve">Phase 1: 7th March
Phase 2: 14th March</t>
  </si>
  <si>
    <t xml:space="preserve">   ◦ Add font-awesome flag icon to response subtext panel (next to thumbs up, TTS)</t>
  </si>
  <si>
    <t xml:space="preserve">   ◦ Wire click to send email to sysadmin1@regos.ai</t>
  </si>
  <si>
    <t xml:space="preserve">   ◦ Include full chat context + chat_ID in email body</t>
  </si>
  <si>
    <t xml:space="preserve">   ◦ Log manual escalation event to audit DB</t>
  </si>
  <si>
    <t xml:space="preserve">• Phase 2: Jira integration</t>
  </si>
  <si>
    <t xml:space="preserve">   ◦ Set up Jira project (3 free seats, full features)</t>
  </si>
  <si>
    <t xml:space="preserve">   ◦ Build OpenWebUI API → Jira ticket creation (fire-and-forget)</t>
  </si>
  <si>
    <t xml:space="preserve">   ◦ Push chat context + form + documents into Jira</t>
  </si>
  <si>
    <t xml:space="preserve">   ◦ Implement case lifecycle (Open → In Review → Resolved → Closed)</t>
  </si>
  <si>
    <t xml:space="preserve">• Status API integration</t>
  </si>
  <si>
    <t xml:space="preserve">   ◦ Endpoint to fetch case status by chat_ID</t>
  </si>
  <si>
    <t xml:space="preserve">   ◦ Display resolution status in chat interface</t>
  </si>
  <si>
    <t xml:space="preserve">• Notify original user when case is resolved</t>
  </si>
  <si>
    <t xml:space="preserve">Multi-Jurisdiction Support</t>
  </si>
  <si>
    <t xml:space="preserve">Knowledge Graph / Core</t>
  </si>
  <si>
    <t xml:space="preserve">System is scoped exclusively to Miami-Dade County Chapter 24. Jurisdiction guardrail blocks non-Miami-Dade queries.</t>
  </si>
  <si>
    <t xml:space="preserve">Support multiple regulatory jurisdictions (other Florida counties, other states, federal EPA). Would require: separate knowledge graphs per jurisdiction, jurisdiction detection and routing in inlet, cross-jurisdiction comparison queries, per-jurisdiction confidence thresholds, jurisdiction-specific threshold tables.</t>
  </si>
  <si>
    <t xml:space="preserve">REGOS_CHANGELOG.md (line 318)
adversarial_guardrails.md (line 120)</t>
  </si>
  <si>
    <t xml:space="preserve">Very Large</t>
  </si>
  <si>
    <t xml:space="preserve">TBD</t>
  </si>
  <si>
    <t xml:space="preserve">• Stakeholder engagement to define future scope</t>
  </si>
  <si>
    <t xml:space="preserve">   ◦ Identify target jurisdictions (FL counties, other states, federal)</t>
  </si>
  <si>
    <t xml:space="preserve">   ◦ Assess regulatory data availability per jurisdiction</t>
  </si>
  <si>
    <t xml:space="preserve">• Design multi-graph architecture</t>
  </si>
  <si>
    <t xml:space="preserve">   ◦ Separate Neo4j DB or namespaced graph per jurisdiction</t>
  </si>
  <si>
    <t xml:space="preserve">   ◦ Jurisdiction detection + routing in inlet</t>
  </si>
  <si>
    <t xml:space="preserve">• Build per-jurisdiction threshold tables</t>
  </si>
  <si>
    <t xml:space="preserve">• Cross-jurisdiction comparison query support</t>
  </si>
  <si>
    <t xml:space="preserve">• Update guardrail to allow supported jurisdictions</t>
  </si>
  <si>
    <t xml:space="preserve">Advanced Prompt Injection Defense + Smarter Guardrail Keyword Matching</t>
  </si>
  <si>
    <t xml:space="preserve">Guardrails / Security</t>
  </si>
  <si>
    <t xml:space="preserve">Prompt injection defense relies entirely on system prompt instructions. No hard programmatic defenses. Keyword matching is blunt — “building code” triggers even if user asks about Chapter 24 facilities near buildings.</t>
  </si>
  <si>
    <t xml:space="preserve">Add programmatic injection detection: pattern matching for common injection techniques, input sanitization layer before graph search, canary token detection, output validation. Replace simple substring matching with context-aware detection: NLP-based intent classification, phrase boundary awareness, configurable false-positive tolerance.</t>
  </si>
  <si>
    <t xml:space="preserve">adversarial_guardrails.md (lines 118, 122-123)</t>
  </si>
  <si>
    <t xml:space="preserve">• Debate ease of deployment — implement by EOB 10th March or defer P2</t>
  </si>
  <si>
    <t xml:space="preserve">10th March EOB
(or defer to P2)</t>
  </si>
  <si>
    <t xml:space="preserve">• Build pattern-matching injection detector</t>
  </si>
  <si>
    <t xml:space="preserve">   ◦ Regex for “ignore previous instructions”, “you are now”, etc.</t>
  </si>
  <si>
    <t xml:space="preserve">   ◦ Role-play attack detection</t>
  </si>
  <si>
    <t xml:space="preserve">• Input sanitization layer (pre-graph-search)</t>
  </si>
  <si>
    <t xml:space="preserve">• Replace blunt keyword matching with context-aware detection</t>
  </si>
  <si>
    <t xml:space="preserve">   ◦ NLP intent classification</t>
  </si>
  <si>
    <t xml:space="preserve">   ◦ Phrase boundary awareness</t>
  </si>
  <si>
    <t xml:space="preserve">   ◦ Configurable false-positive tolerance</t>
  </si>
  <si>
    <t xml:space="preserve">• Output validation for information leakage</t>
  </si>
  <si>
    <t xml:space="preserve">• Run against existing 4 adversarial injection test cases</t>
  </si>
  <si>
    <t xml:space="preserve">Neo4j Failover for Zero-Retrieval Guardrail</t>
  </si>
  <si>
    <t xml:space="preserve">Guardrails / Reliability</t>
  </si>
  <si>
    <t xml:space="preserve">If Neo4j is down, the exception handler fires before the zero-retrieval check. Guardrail won’t trigger; query passes through unmodified to LLM.</t>
  </si>
  <si>
    <t xml:space="preserve">Add fallback behavior when Neo4j is unreachable: detect connection failure separately from zero-retrieval, show a specific “System Temporarily Unavailable” notice, log the Neo4j failure to audit DB, optionally fall back to KB-only retrieval with a degraded-mode notice.</t>
  </si>
  <si>
    <t xml:space="preserve">adversarial_guardrails.md (line 124)</t>
  </si>
  <si>
    <t xml:space="preserve">Small</t>
  </si>
  <si>
    <t xml:space="preserve">• PRIORITY: Separate connection failure from zero-retrieval</t>
  </si>
  <si>
    <t xml:space="preserve">7th March</t>
  </si>
  <si>
    <t xml:space="preserve">   ◦ Catch Neo4j ConnectionError distinctly</t>
  </si>
  <si>
    <t xml:space="preserve">   ◦ Don’t let it fall through to zero-retrieval guardrail</t>
  </si>
  <si>
    <t xml:space="preserve">• Show “System Temporarily Unavailable” notice on Neo4j failure</t>
  </si>
  <si>
    <t xml:space="preserve">• Log Neo4j failure event to audit DB</t>
  </si>
  <si>
    <t xml:space="preserve">• Optional: fall back to KB-only retrieval with degraded-mode notice</t>
  </si>
  <si>
    <t xml:space="preserve">• Add health-check endpoint for Neo4j connection status</t>
  </si>
  <si>
    <t xml:space="preserve">Confidence Score: Time-Decay Weighting</t>
  </si>
  <si>
    <t xml:space="preserve">Deferred</t>
  </si>
  <si>
    <t xml:space="preserve">Confidence Scoring</t>
  </si>
  <si>
    <t xml:space="preserve">All source sections weighted equally regardless of age or amendment date.</t>
  </si>
  <si>
    <t xml:space="preserve">Penalize older sections slightly in confidence calculation. Requires amendment date metadata on Ch24Document nodes.</t>
  </si>
  <si>
    <t xml:space="preserve">confidence_scoring.md (line 275)</t>
  </si>
  <si>
    <t xml:space="preserve">—</t>
  </si>
  <si>
    <t xml:space="preserve">• DO NOT TOUCH — Too subjective. Soham: “Who plays God there?” Hardeep: “I wouldn’t touch it.”</t>
  </si>
  <si>
    <t xml:space="preserve">Deferred indefinitely</t>
  </si>
  <si>
    <t xml:space="preserve">• If revisited in the future:</t>
  </si>
  <si>
    <t xml:space="preserve">   ◦ Evaluate whether amendment dates are obtainable</t>
  </si>
  <si>
    <t xml:space="preserve">   ◦ Assess impact on scoring accuracy vs complexity</t>
  </si>
  <si>
    <t xml:space="preserve">   ◦ Calibrate decay rate against known regulatory updates</t>
  </si>
  <si>
    <t xml:space="preserve">Confidence Score: Cross-Query Coherence</t>
  </si>
  <si>
    <t xml:space="preserve">Each query scored independently. No cross-reference validation between retrieved sections.</t>
  </si>
  <si>
    <t xml:space="preserve">Detect contradictions between retrieved sections and penalize confidence when sections conflict. Soham: “This is adversarial intelligence… a very important thing that should go into the confidence core.”</t>
  </si>
  <si>
    <t xml:space="preserve">confidence_scoring.md (line 276)</t>
  </si>
  <si>
    <t xml:space="preserve">• Build contradiction detection between retrieved sections</t>
  </si>
  <si>
    <t xml:space="preserve">   ◦ Identify overlapping parameter references across sections</t>
  </si>
  <si>
    <t xml:space="preserve">   ◦ Flag conflicting values (e.g. 30 mg/L vs 15 mg/L)</t>
  </si>
  <si>
    <t xml:space="preserve">• Penalize confidence when sections conflict</t>
  </si>
  <si>
    <t xml:space="preserve">• Generate user-facing note explaining the distinction</t>
  </si>
  <si>
    <t xml:space="preserve">• Test with known Chapter 24 section overlaps (24-42 vs 24-42.1)</t>
  </si>
  <si>
    <t xml:space="preserve">Confidence Score: User Feedback Loop</t>
  </si>
  <si>
    <t xml:space="preserve">Weights are static (set once in v0.17.3). No mechanism for real-world calibration.</t>
  </si>
  <si>
    <t xml:space="preserve">Allow user feedback (thumbs up/down) to fine-tune confidence weights over time. Store feedback in audit DB, run periodic weight optimization. Escalated P2→P1 because partially built and high-quality training signal.</t>
  </si>
  <si>
    <t xml:space="preserve">confidence_scoring.md (lines 277-279)</t>
  </si>
  <si>
    <t xml:space="preserve">• PRIORITY: Discuss with team, close by 5th March EOB</t>
  </si>
  <si>
    <t xml:space="preserve">5th March (decision)
12th March (implementation)</t>
  </si>
  <si>
    <t xml:space="preserve">• Add thumbs up/down feedback capture in outlet</t>
  </si>
  <si>
    <t xml:space="preserve">   ◦ Hook into Open WebUI’s existing rating mechanism</t>
  </si>
  <si>
    <t xml:space="preserve">   ◦ Store feedback in audit DB (query_id, rating, timestamp)</t>
  </si>
  <si>
    <t xml:space="preserve">• Build periodic weight optimization script</t>
  </si>
  <si>
    <t xml:space="preserve">   ◦ Pull feedback data from audit DB</t>
  </si>
  <si>
    <t xml:space="preserve">   ◦ Correlate ratings with confidence signals</t>
  </si>
  <si>
    <t xml:space="preserve">   ◦ Output updated signal weights</t>
  </si>
  <si>
    <t xml:space="preserve">• Per-domain threshold tuning for different query types</t>
  </si>
  <si>
    <t xml:space="preserve">Confidence Score: Explainability UI</t>
  </si>
  <si>
    <t xml:space="preserve">Confidence Scoring / UX</t>
  </si>
  <si>
    <t xml:space="preserve">Trace mode (show_trace=True) shows raw signal breakdown but it’s a developer-facing debug view, not user-friendly.</t>
  </si>
  <si>
    <t xml:space="preserve">User-facing confidence explanation: natural language summary of which signals drove the score, displayed as a tooltip or expandable section.</t>
  </si>
  <si>
    <t xml:space="preserve">confidence_scoring.md (line 278)</t>
  </si>
  <si>
    <t xml:space="preserve">• Design natural-language confidence explanation templates</t>
  </si>
  <si>
    <t xml:space="preserve">10th March</t>
  </si>
  <si>
    <t xml:space="preserve">   ◦ HIGH: “High confidence — X sections directly address your question”</t>
  </si>
  <si>
    <t xml:space="preserve">   ◦ MEDIUM: “Medium confidence — limited sections found”</t>
  </si>
  <si>
    <t xml:space="preserve">   ◦ LOW: “Low confidence — may not cover all aspects”</t>
  </si>
  <si>
    <t xml:space="preserve">• Map each scoring signal to a plain-English phrase</t>
  </si>
  <si>
    <t xml:space="preserve">• Inject explanation as tooltip or expandable section in outlet</t>
  </si>
  <si>
    <t xml:space="preserve">• Test across HIGH/MEDIUM/LOW band queries</t>
  </si>
  <si>
    <t xml:space="preserve">Frontend Response Component</t>
  </si>
  <si>
    <t xml:space="preserve">Frontend / UX</t>
  </si>
  <si>
    <t xml:space="preserve">Enterprise formatting is pure markdown rendered by Open WebUI’s default message component. No custom UI.</t>
  </si>
  <si>
    <t xml:space="preserve">Custom Svelte component that recognizes RegOS response format and renders: colored confidence badge, collapsible citation blocks, confidence gauge visualization, escalation banner with action buttons, structured refusal card.</t>
  </si>
  <si>
    <t xml:space="preserve">P0_Feature_Analysis.md (lines 73-78)</t>
  </si>
  <si>
    <t xml:space="preserve">Shreya / Simi / Amritpal</t>
  </si>
  <si>
    <t xml:space="preserve">• Deferred — falls under Shreya’s UI turnaround (see item 1)</t>
  </si>
  <si>
    <t xml:space="preserve">Follows item 1</t>
  </si>
  <si>
    <t xml:space="preserve">• When ready:</t>
  </si>
  <si>
    <t xml:space="preserve">   ◦ Build custom Svelte message component</t>
  </si>
  <si>
    <t xml:space="preserve">   ◦ Colored confidence badge (green/amber/red)</t>
  </si>
  <si>
    <t xml:space="preserve">   ◦ Collapsible citation blocks</t>
  </si>
  <si>
    <t xml:space="preserve">   ◦ Escalation banner with action buttons</t>
  </si>
  <si>
    <t xml:space="preserve">   ◦ Structured refusal card</t>
  </si>
  <si>
    <t xml:space="preserve">Multi-Facility Context Disambiguation</t>
  </si>
  <si>
    <t xml:space="preserve">Core Pipeline</t>
  </si>
  <si>
    <t xml:space="preserve">Basic conversation-aware context exists. Documented in functions_README but not fully operational for multi-facility scenarios.</t>
  </si>
  <si>
    <t xml:space="preserve">Full support for organizations managing multiple facilities. System tracks which facility the user is discussing, asks for clarification when ambiguous, maintains per-facility regulatory context.</t>
  </si>
  <si>
    <t xml:space="preserve">functions_README.md (lines 94-95)</t>
  </si>
  <si>
    <t xml:space="preserve">• Build facility tracking in conversation context</t>
  </si>
  <si>
    <t xml:space="preserve">14th March</t>
  </si>
  <si>
    <t xml:space="preserve">   ◦ Extract facility name/location from user messages</t>
  </si>
  <si>
    <t xml:space="preserve">   ◦ Store active facility in session state</t>
  </si>
  <si>
    <t xml:space="preserve">• Disambiguation prompt when facility is ambiguous</t>
  </si>
  <si>
    <t xml:space="preserve">• Per-facility regulatory context lookup</t>
  </si>
  <si>
    <t xml:space="preserve">• Test with multi-facility scenario (“Miami Beach plant BOD 45 — what about Homestead?”)</t>
  </si>
  <si>
    <t xml:space="preserve">Onboarding Engagement Disclaimer</t>
  </si>
  <si>
    <t xml:space="preserve">Legal / Compliance</t>
  </si>
  <si>
    <t xml:space="preserve">Per-response disclaimers are conditional (3-state). No one-time service agreement disclaimer exists in the product.</t>
  </si>
  <si>
    <t xml:space="preserve">One-time engagement-level disclaimer shown during onboarding/first use. Use the custom bubble facility in Open WebUI. Framed as a service agreement rather than per-response warning.</t>
  </si>
  <si>
    <t xml:space="preserve">disclaimer_research.md (line 143)</t>
  </si>
  <si>
    <t xml:space="preserve">• Use Open WebUI custom bubble facility — quick close</t>
  </si>
  <si>
    <t xml:space="preserve">   ◦ Identify custom bubble config in Open WebUI settings</t>
  </si>
  <si>
    <t xml:space="preserve">   ◦ Add one-time engagement disclaimer on first chat</t>
  </si>
  <si>
    <t xml:space="preserve">• Draft disclaimer text (Option D from disclaimer_research.md)</t>
  </si>
  <si>
    <t xml:space="preserve">• Frame as service agreement, not per-response warning</t>
  </si>
  <si>
    <t xml:space="preserve">• Test: new user sees disclaimer once, returning user does not</t>
  </si>
  <si>
    <t xml:space="preserve">SCADA → Dashboard Real-Time Feed</t>
  </si>
  <si>
    <t xml:space="preserve">Integration / Visualization</t>
  </si>
  <si>
    <t xml:space="preserve">SCADA Streaming API (WebSocket + SSE + REST) is operational. SSE clients can subscribe to real-time determinations. But no consumer UI exists.</t>
  </si>
  <si>
    <t xml:space="preserve">Connect SSE stream to a monitoring UI (Grafana or custom dashboard). Real-time compliance status updates as sensor readings come in. Breach alerts with audio/visual notifications. Historical trend charts.</t>
  </si>
  <si>
    <t xml:space="preserve">REGOS_CHANGELOG.md (lines 463-498)</t>
  </si>
  <si>
    <t xml:space="preserve">• Choose consumer UI (Grafana vs custom dashboard vs deferred Svelte)</t>
  </si>
  <si>
    <t xml:space="preserve">17th March</t>
  </si>
  <si>
    <t xml:space="preserve">• Connect SSE stream to chosen UI</t>
  </si>
  <si>
    <t xml:space="preserve">   ◦ Subscribe to real-time compliance determinations</t>
  </si>
  <si>
    <t xml:space="preserve">   ◦ Render breach alerts with audio/visual notifications</t>
  </si>
  <si>
    <t xml:space="preserve">• Build historical trend charts from breach DB</t>
  </si>
  <si>
    <t xml:space="preserve">• Test end-to-end: SCADA reading → threshold eval → dashboard alert</t>
  </si>
  <si>
    <t xml:space="preserve">APAS Telemetry: Full Effluent Sensor Activation</t>
  </si>
  <si>
    <t xml:space="preserve">Integration / SCADA</t>
  </si>
  <si>
    <t xml:space="preserve">8 metric mappings configured (1 evaluable: temperature). 14 effluent sensor templates exist in apas_metric_mappings.json but are inactive (evaluate: false).</t>
  </si>
  <si>
    <t xml:space="preserve">Activate all 14 effluent sensor mappings. Break all IO into qty + UOM columns. Add UOM_Conversion table entity with universal conversion rules — standard enterprise software pattern.</t>
  </si>
  <si>
    <t xml:space="preserve">REGOS_CHANGELOG.md (lines 511-515)
apas_metric_mappings.json</t>
  </si>
  <si>
    <t xml:space="preserve">• Design UOM (Unit of Measurement) table entity</t>
  </si>
  <si>
    <t xml:space="preserve">12th March</t>
  </si>
  <si>
    <t xml:space="preserve">   ◦ Break all IO into qty + uom columns</t>
  </si>
  <si>
    <t xml:space="preserve">   ◦ Define UOM codes (mg/L, °C, NTU, CFU/100mL, etc.)</t>
  </si>
  <si>
    <t xml:space="preserve">• Build UOM_Conversion table (universal)</t>
  </si>
  <si>
    <t xml:space="preserve">   ◦ Define conversion rules between units</t>
  </si>
  <si>
    <t xml:space="preserve">   ◦ Ensure bidirectional conversion support</t>
  </si>
  <si>
    <t xml:space="preserve">• Activate 14 effluent sensor mappings</t>
  </si>
  <si>
    <t xml:space="preserve">   ◦ Verify unit conversion for each metric</t>
  </si>
  <si>
    <t xml:space="preserve">   ◦ Cross-reference against threshold table entries</t>
  </si>
  <si>
    <t xml:space="preserve">   ◦ Set evaluate: true in apas_metric_mappings.json</t>
  </si>
  <si>
    <t xml:space="preserve">• Test each sensor with sample APAS telemetry data</t>
  </si>
  <si>
    <t xml:space="preserve">Adversarial Test Suite Automation</t>
  </si>
  <si>
    <t xml:space="preserve">Testing / QA</t>
  </si>
  <si>
    <t xml:space="preserve">28 test queries documented in adversarial_guardrails.md. Manual execution — copy-paste each query and verify behavior.</t>
  </si>
  <si>
    <t xml:space="preserve">Automated test runner. Chapter 24 is the perfect testing ground for adversarial technology. Execute all 28 queries via API, check against expected behavior, produce pass/fail report.</t>
  </si>
  <si>
    <t xml:space="preserve">adversarial_guardrails.md (full document)</t>
  </si>
  <si>
    <t xml:space="preserve">• Build automated test runner script</t>
  </si>
  <si>
    <t xml:space="preserve">   ◦ Read all 28 queries from adversarial_guardrails.md</t>
  </si>
  <si>
    <t xml:space="preserve">   ◦ Execute each via Open WebUI API</t>
  </si>
  <si>
    <t xml:space="preserve">• Define expected behavior per query</t>
  </si>
  <si>
    <t xml:space="preserve">   ◦ Expected guardrail type (scope/jurisdiction/zero-retrieval)</t>
  </si>
  <si>
    <t xml:space="preserve">   ◦ Expected confidence band</t>
  </si>
  <si>
    <t xml:space="preserve">   ◦ Expected escalation status</t>
  </si>
  <si>
    <t xml:space="preserve">• Query audit DB to verify each result</t>
  </si>
  <si>
    <t xml:space="preserve">• Generate pass/fail report</t>
  </si>
  <si>
    <t xml:space="preserve">• Integrate into deployment pipeline for regression testing</t>
  </si>
  <si>
    <t xml:space="preserve">GIS Well Field Protection Zone Mapping</t>
  </si>
  <si>
    <t xml:space="preserve">Core Pipeline / GIS</t>
  </si>
  <si>
    <t xml:space="preserve">No GIS capability exists. System cannot evaluate location-based regulatory requirements.</t>
  </si>
  <si>
    <t xml:space="preserve">NOT using ArcGIS APIs. Cartesian coordinate geometry approach: store lat/long boundaries of wellfield protection zones from Miami-Dade Open Data Portal, geocode user address, do point-in-polygon with plain math. Define location hierarchies (state → county → district → city) where lower hierarchy coordinates must fall within higher hierarchy. Replicable globally. Estimated effort: half a day prompting + half a day testing.</t>
  </si>
  <si>
    <t xml:space="preserve">Miami-Dade Open Data Portal — Wellfield Protection Zones</t>
  </si>
  <si>
    <t xml:space="preserve">• Extract wellfield boundary data from Miami-Dade Open Data Portal</t>
  </si>
  <si>
    <t xml:space="preserve">5th March</t>
  </si>
  <si>
    <t xml:space="preserve">   ◦ Download wellfield maps, boundaries, zip codes, contour lines</t>
  </si>
  <si>
    <t xml:space="preserve">   ◦ Extract Cartesian coordinates for each zone polygon</t>
  </si>
  <si>
    <t xml:space="preserve">   ◦ Understand wellfield travel time contour data</t>
  </si>
  <si>
    <t xml:space="preserve">• Build location hierarchy model</t>
  </si>
  <si>
    <t xml:space="preserve">   ◦ Define hierarchy: State → County → District → City</t>
  </si>
  <si>
    <t xml:space="preserve">   ◦ Store coordinates at each level</t>
  </si>
  <si>
    <t xml:space="preserve">   ◦ Validate lower coords fall within higher coords</t>
  </si>
  <si>
    <t xml:space="preserve">• Implement point-in-polygon checker (Cartesian math, no GIS API)</t>
  </si>
  <si>
    <t xml:space="preserve">   ◦ Geocode user-provided address to lat/long</t>
  </si>
  <si>
    <t xml:space="preserve">   ◦ Check if point falls within wellfield zone boundaries</t>
  </si>
  <si>
    <t xml:space="preserve">   ◦ Return zone name + applicable Chapter 24 restrictions</t>
  </si>
  <si>
    <t xml:space="preserve">• Integrate into RegOS chat flow</t>
  </si>
  <si>
    <t xml:space="preserve">   ◦ Detect address-based queries in inlet</t>
  </si>
  <si>
    <t xml:space="preserve">   ◦ Run coordinate check and inject result into LLM context</t>
  </si>
  <si>
    <t xml:space="preserve">   ◦ Format response with zone determination + regulatory implications</t>
  </si>
  <si>
    <t xml:space="preserve">• Add wellfield data to knowledge graph (separate from main RAG)</t>
  </si>
  <si>
    <t xml:space="preserve">RegOS API Exposure for External Platforms</t>
  </si>
  <si>
    <t xml:space="preserve">Integration / API</t>
  </si>
  <si>
    <t xml:space="preserve">RegOS is only accessible via Open WebUI chat interface. No external API for other applications to consume.</t>
  </si>
  <si>
    <t xml:space="preserve">Expose betterhardeep.ai as an API service for Shreya’s NID platform and future integrations. Fire-and-forget pattern: ~3 sec becomes ~20 sec latency for backend sync. Free (self-hosted). Extend to any application via API keys.</t>
  </si>
  <si>
    <t xml:space="preserve">Meeting transcript (Mar 2, 2026) — Soham</t>
  </si>
  <si>
    <t xml:space="preserve">• Design API endpoint for RegOS query service</t>
  </si>
  <si>
    <t xml:space="preserve">   ◦ Define request/response schema (query, context, auth)</t>
  </si>
  <si>
    <t xml:space="preserve">   ◦ Implement API key authentication</t>
  </si>
  <si>
    <t xml:space="preserve">   ◦ Fire-and-forget pattern for backend sync</t>
  </si>
  <si>
    <t xml:space="preserve">• Expose via betterhardeep.ai domain</t>
  </si>
  <si>
    <t xml:space="preserve">• Test with Shreya’s NID platform as first consumer</t>
  </si>
  <si>
    <t xml:space="preserve">• Document API for future integrations</t>
  </si>
  <si>
    <t xml:space="preserve">NotebookLM Benchmarking Exercise</t>
  </si>
  <si>
    <t xml:space="preserve">No formal comparison exists between RegOS and alternative tools for the same regulatory content.</t>
  </si>
  <si>
    <t xml:space="preserve">Benchmark RegOS responses against Google NotebookLM, GPT, and Claude using same Chapter 24 PDF and prompts. Apples-to-apples comparison. Soham: “That is a very good exercise and showing ourselves the mirror.”</t>
  </si>
  <si>
    <t xml:space="preserve">Meeting transcript (Mar 2, 2026) — Soham/Hardeep</t>
  </si>
  <si>
    <t xml:space="preserve">Anmol / Hardeep</t>
  </si>
  <si>
    <t xml:space="preserve">• Upload Chapter 24 PDF to Google NotebookLM</t>
  </si>
  <si>
    <t xml:space="preserve">• Run identical prompts through:</t>
  </si>
  <si>
    <t xml:space="preserve">   ◦ RegOS (betterhardeep.ai)</t>
  </si>
  <si>
    <t xml:space="preserve">   ◦ Google NotebookLM</t>
  </si>
  <si>
    <t xml:space="preserve">   ◦ ChatGPT (raw, no RAG)</t>
  </si>
  <si>
    <t xml:space="preserve">   ◦ Claude (raw, no RAG)</t>
  </si>
  <si>
    <t xml:space="preserve">• Compare outputs: accuracy, citations, structure, depth</t>
  </si>
  <si>
    <t xml:space="preserve">• Document strengths/weaknesses of each</t>
  </si>
  <si>
    <t xml:space="preserve">• Use findings to improve RegOS system prompt and retrieval</t>
  </si>
  <si>
    <t xml:space="preserve">Feature Count by Phase and Category</t>
  </si>
  <si>
    <t xml:space="preserve">Count</t>
  </si>
  <si>
    <t xml:space="preserve">Categories</t>
  </si>
  <si>
    <t xml:space="preserve">Complexity Breakdown</t>
  </si>
  <si>
    <t xml:space="preserve">Key Dependencies</t>
  </si>
  <si>
    <t xml:space="preserve">Confidence Scoring (1), Confidence Scoring / UX (1), Core Pipeline (1), Core Pipeline / GIS (1), Escalation Workflow (1), Guardrails / Reliability (1), Guardrails / Security (1), Integration / API (1), Integration / SCADA (1), Integration / Visualization (1), Legal / Compliance (1), Testing / QA (2)</t>
  </si>
  <si>
    <t xml:space="preserve">Large: 1, Medium: 6, Small: 6</t>
  </si>
  <si>
    <t xml:space="preserve">Jira (3 free seats), n8n webhooks, APAS Telemetry API, Open WebUI API, Miami-Dade Open Data Portal</t>
  </si>
  <si>
    <t xml:space="preserve">Audit / UX (1), Confidence Scoring (1), Frontend / UX (1), Frontend / Visualization (1), Knowledge Graph / Core (1)</t>
  </si>
  <si>
    <t xml:space="preserve">Large: 3, Medium: 1, Very Large: 1</t>
  </si>
  <si>
    <t xml:space="preserve">Svelte frontend build pipeline, multi-jurisdiction knowledge graphs, Shreya’s UI framework</t>
  </si>
  <si>
    <t xml:space="preserve">Confidence Scoring (1)</t>
  </si>
  <si>
    <t xml:space="preserve">Medium: 1</t>
  </si>
  <si>
    <t xml:space="preserve">Explicitly shelved by leadership</t>
  </si>
  <si>
    <t xml:space="preserve">Total</t>
  </si>
  <si>
    <t xml:space="preserve">P0 Features — Completed and Deployed</t>
  </si>
  <si>
    <t xml:space="preserve">Version</t>
  </si>
  <si>
    <t xml:space="preserve">Implementation</t>
  </si>
  <si>
    <t xml:space="preserve">Key Capability</t>
  </si>
  <si>
    <t xml:space="preserve">Status</t>
  </si>
  <si>
    <t xml:space="preserve">Audit Logging</t>
  </si>
  <si>
    <t xml:space="preserve">v0.4.0</t>
  </si>
  <si>
    <t xml:space="preserve">audit_logger.py (Filter)</t>
  </si>
  <si>
    <t xml:space="preserve">SQLite DB, tamper-evident SHA-256 hashing, confidence/escalation/guardrail metadata capture</t>
  </si>
  <si>
    <t xml:space="preserve">Done</t>
  </si>
  <si>
    <t xml:space="preserve">GraphRAG Pipeline</t>
  </si>
  <si>
    <t xml:space="preserve">v0.17.3</t>
  </si>
  <si>
    <t xml:space="preserve">graphrag_filter.py (Filter)</t>
  </si>
  <si>
    <t xml:space="preserve">4-step retrieval: document fulltext → entity traversal → concept expansion → direct search. FEA v2 graph (693 nodes, 2,351 rels)</t>
  </si>
  <si>
    <t xml:space="preserve">6-signal weighted composite (avg_doc 0.30, doc_count 0.15, concept 0.25, sections 0.12, graph_exclusive 0.10, direct 0.08)</t>
  </si>
  <si>
    <t xml:space="preserve">Enterprise Output Formatting</t>
  </si>
  <si>
    <t xml:space="preserve">v0.7.0+</t>
  </si>
  <si>
    <t xml:space="preserve">system_prompt.md + Filter</t>
  </si>
  <si>
    <t xml:space="preserve">3 personas (Citizen, Consultant, Regulator), structured template, expert-informed design</t>
  </si>
  <si>
    <t xml:space="preserve">Sources Panel Integration</t>
  </si>
  <si>
    <t xml:space="preserve">v0.8.0</t>
  </si>
  <si>
    <t xml:space="preserve">graphrag_filter.py (Outlet)</t>
  </si>
  <si>
    <t xml:space="preserve">[G1]-[G5] citations in Sources button alongside KB sources. Direct outlet mutation pattern.</t>
  </si>
  <si>
    <t xml:space="preserve">Conditional Disclaimers</t>
  </si>
  <si>
    <t xml:space="preserve">v0.8.1</t>
  </si>
  <si>
    <t xml:space="preserve">3-state confidence-adaptive: HIGH (minimal), MEDIUM (acknowledges gaps), LOW (honest about limits). No "consult professionals"</t>
  </si>
  <si>
    <t xml:space="preserve">v0.10.0</t>
  </si>
  <si>
    <t xml:space="preserve">graphrag_filter.py + n8n</t>
  </si>
  <si>
    <t xml:space="preserve">Auto-flag on low confidence, n8n webhook with full case packet, AI case brief generation, structured user notice</t>
  </si>
  <si>
    <t xml:space="preserve">Threshold Evaluation</t>
  </si>
  <si>
    <t xml:space="preserve">v0.14.0</t>
  </si>
  <si>
    <t xml:space="preserve">graphrag_filter.py (Inlet)</t>
  </si>
  <si>
    <t xml:space="preserve">Regex detection for 35+ parameters, 96 Ch.24 thresholds, SHA-256 evidence hashing, compliance badge, breach DB</t>
  </si>
  <si>
    <t xml:space="preserve">Guardrails &amp; Refusal</t>
  </si>
  <si>
    <t xml:space="preserve">v0.12.0</t>
  </si>
  <si>
    <t xml:space="preserve">graphrag_filter.py (Inlet/Outlet)</t>
  </si>
  <si>
    <t xml:space="preserve">Out-of-scope keywords, jurisdiction mismatch (countries + US states), zero-retrieval detection, professional notices with ref IDs</t>
  </si>
  <si>
    <t xml:space="preserve">SCADA Streaming API</t>
  </si>
  <si>
    <t xml:space="preserve">v0.1.0</t>
  </si>
  <si>
    <t xml:space="preserve">api/scada_stream.py</t>
  </si>
  <si>
    <t xml:space="preserve">WebSocket + SSE + REST batch ingestion, token-bucket rate limiting, real-time threshold evaluation, 15 tests passing</t>
  </si>
  <si>
    <t xml:space="preserve">APAS Telemetry Bridge</t>
  </si>
  <si>
    <t xml:space="preserve">api/apas_bridge.py</t>
  </si>
  <si>
    <t xml:space="preserve">Polling bridge with JWT auth, metric mapping registry, unit conversion, exponential backoff, 12 tests passing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</si>
</sst>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4"/>
      <color rgb="FF1F4E7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2E7D32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DF2F7"/>
        <bgColor rgb="FFF0F0F0"/>
      </patternFill>
    </fill>
    <fill>
      <patternFill patternType="solid">
        <fgColor rgb="FFF7F9FC"/>
        <bgColor rgb="FFFAFAFA"/>
      </patternFill>
    </fill>
    <fill>
      <patternFill patternType="solid">
        <fgColor rgb="FFFAFAFA"/>
        <bgColor rgb="FFF7F9FC"/>
      </patternFill>
    </fill>
    <fill>
      <patternFill patternType="solid">
        <fgColor rgb="FFFFF2CC"/>
        <bgColor rgb="FFFCE4D6"/>
      </patternFill>
    </fill>
    <fill>
      <patternFill patternType="solid">
        <fgColor rgb="FFF0F0F0"/>
        <bgColor rgb="FFEDF2F7"/>
      </patternFill>
    </fill>
    <fill>
      <patternFill patternType="solid">
        <fgColor rgb="FFE2EFDA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DF2F7"/>
      <rgbColor rgb="FF660066"/>
      <rgbColor rgb="FFFF8080"/>
      <rgbColor rgb="FF0066CC"/>
      <rgbColor rgb="FFF7F9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EFDA"/>
      <rgbColor rgb="FFFAFAFA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555555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35"/>
    <col collapsed="false" customWidth="true" hidden="false" outlineLevel="0" max="6" min="6" style="1" width="45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55"/>
    <col collapsed="false" customWidth="true" hidden="false" outlineLevel="0" max="11" min="11" style="0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n">
        <v>1</v>
      </c>
      <c r="B5" s="6" t="s">
        <v>13</v>
      </c>
      <c r="C5" s="7" t="s">
        <v>14</v>
      </c>
      <c r="D5" s="8" t="s">
        <v>15</v>
      </c>
      <c r="E5" s="8" t="s">
        <v>16</v>
      </c>
      <c r="F5" s="8" t="s">
        <v>17</v>
      </c>
      <c r="G5" s="8" t="s">
        <v>18</v>
      </c>
      <c r="H5" s="9" t="s">
        <v>19</v>
      </c>
      <c r="I5" s="5" t="s">
        <v>20</v>
      </c>
      <c r="J5" s="10" t="s">
        <v>21</v>
      </c>
      <c r="K5" s="11" t="s">
        <v>22</v>
      </c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12" t="s">
        <v>23</v>
      </c>
      <c r="K6" s="11"/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12" t="s">
        <v>24</v>
      </c>
      <c r="K7" s="11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12" t="s">
        <v>25</v>
      </c>
      <c r="K8" s="11"/>
    </row>
    <row r="9" customFormat="false" ht="1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10" t="s">
        <v>26</v>
      </c>
      <c r="K9" s="11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12" t="s">
        <v>27</v>
      </c>
      <c r="K10" s="11"/>
    </row>
    <row r="11" customFormat="false" ht="1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12" t="s">
        <v>28</v>
      </c>
      <c r="K11" s="11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12" t="s">
        <v>29</v>
      </c>
      <c r="K12" s="11"/>
    </row>
    <row r="13" customFormat="false" ht="15" hidden="false" customHeight="true" outlineLevel="0" collapsed="false">
      <c r="A13" s="11" t="n">
        <v>2</v>
      </c>
      <c r="B13" s="13" t="s">
        <v>30</v>
      </c>
      <c r="C13" s="7" t="s">
        <v>14</v>
      </c>
      <c r="D13" s="14" t="s">
        <v>31</v>
      </c>
      <c r="E13" s="14" t="s">
        <v>32</v>
      </c>
      <c r="F13" s="14" t="s">
        <v>33</v>
      </c>
      <c r="G13" s="14" t="s">
        <v>34</v>
      </c>
      <c r="H13" s="15" t="s">
        <v>35</v>
      </c>
      <c r="I13" s="11" t="s">
        <v>36</v>
      </c>
      <c r="J13" s="10" t="s">
        <v>37</v>
      </c>
      <c r="K13" s="5" t="s">
        <v>38</v>
      </c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2" t="s">
        <v>39</v>
      </c>
      <c r="K14" s="5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2" t="s">
        <v>40</v>
      </c>
      <c r="K15" s="5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2" t="s">
        <v>41</v>
      </c>
      <c r="K16" s="5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0" t="s">
        <v>42</v>
      </c>
      <c r="K17" s="5"/>
    </row>
    <row r="18" customFormat="false" ht="23.2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0" t="s">
        <v>43</v>
      </c>
      <c r="K18" s="5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0" t="s">
        <v>44</v>
      </c>
      <c r="K19" s="5"/>
    </row>
    <row r="20" customFormat="false" ht="15" hidden="false" customHeight="true" outlineLevel="0" collapsed="false">
      <c r="A20" s="5" t="n">
        <v>3</v>
      </c>
      <c r="B20" s="6" t="s">
        <v>45</v>
      </c>
      <c r="C20" s="16" t="s">
        <v>46</v>
      </c>
      <c r="D20" s="8" t="s">
        <v>47</v>
      </c>
      <c r="E20" s="8" t="s">
        <v>48</v>
      </c>
      <c r="F20" s="8" t="s">
        <v>49</v>
      </c>
      <c r="G20" s="8" t="s">
        <v>50</v>
      </c>
      <c r="H20" s="9" t="s">
        <v>35</v>
      </c>
      <c r="I20" s="5" t="s">
        <v>36</v>
      </c>
      <c r="J20" s="10" t="s">
        <v>51</v>
      </c>
      <c r="K20" s="11" t="s">
        <v>52</v>
      </c>
    </row>
    <row r="21" customFormat="false" ht="2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12" t="s">
        <v>53</v>
      </c>
      <c r="K21" s="11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12" t="s">
        <v>54</v>
      </c>
      <c r="K22" s="11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12" t="s">
        <v>55</v>
      </c>
      <c r="K23" s="11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12" t="s">
        <v>56</v>
      </c>
      <c r="K24" s="11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10" t="s">
        <v>57</v>
      </c>
      <c r="K25" s="11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12" t="s">
        <v>58</v>
      </c>
      <c r="K26" s="11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12" t="s">
        <v>59</v>
      </c>
      <c r="K27" s="11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12" t="s">
        <v>60</v>
      </c>
      <c r="K28" s="11"/>
    </row>
    <row r="29" customFormat="false" ht="2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12" t="s">
        <v>61</v>
      </c>
      <c r="K29" s="11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10" t="s">
        <v>62</v>
      </c>
      <c r="K30" s="11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12" t="s">
        <v>63</v>
      </c>
      <c r="K31" s="11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12" t="s">
        <v>64</v>
      </c>
      <c r="K32" s="11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10" t="s">
        <v>65</v>
      </c>
      <c r="K33" s="11"/>
    </row>
    <row r="34" customFormat="false" ht="15" hidden="false" customHeight="true" outlineLevel="0" collapsed="false">
      <c r="A34" s="11" t="n">
        <v>4</v>
      </c>
      <c r="B34" s="13" t="s">
        <v>66</v>
      </c>
      <c r="C34" s="7" t="s">
        <v>14</v>
      </c>
      <c r="D34" s="14" t="s">
        <v>67</v>
      </c>
      <c r="E34" s="14" t="s">
        <v>68</v>
      </c>
      <c r="F34" s="14" t="s">
        <v>69</v>
      </c>
      <c r="G34" s="14" t="s">
        <v>70</v>
      </c>
      <c r="H34" s="15" t="s">
        <v>71</v>
      </c>
      <c r="I34" s="11" t="s">
        <v>72</v>
      </c>
      <c r="J34" s="10" t="s">
        <v>73</v>
      </c>
      <c r="K34" s="5" t="s">
        <v>38</v>
      </c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2" t="s">
        <v>74</v>
      </c>
      <c r="K35" s="5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2" t="s">
        <v>75</v>
      </c>
      <c r="K36" s="5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0" t="s">
        <v>76</v>
      </c>
      <c r="K37" s="5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2" t="s">
        <v>77</v>
      </c>
      <c r="K38" s="5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2" t="s">
        <v>78</v>
      </c>
      <c r="K39" s="5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0" t="s">
        <v>79</v>
      </c>
      <c r="K40" s="5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0" t="s">
        <v>80</v>
      </c>
      <c r="K41" s="5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0" t="s">
        <v>81</v>
      </c>
      <c r="K42" s="5"/>
    </row>
    <row r="43" customFormat="false" ht="23.25" hidden="false" customHeight="true" outlineLevel="0" collapsed="false">
      <c r="A43" s="5" t="n">
        <v>5</v>
      </c>
      <c r="B43" s="6" t="s">
        <v>82</v>
      </c>
      <c r="C43" s="16" t="s">
        <v>46</v>
      </c>
      <c r="D43" s="8" t="s">
        <v>83</v>
      </c>
      <c r="E43" s="8" t="s">
        <v>84</v>
      </c>
      <c r="F43" s="8" t="s">
        <v>85</v>
      </c>
      <c r="G43" s="8" t="s">
        <v>86</v>
      </c>
      <c r="H43" s="9" t="s">
        <v>35</v>
      </c>
      <c r="I43" s="5" t="s">
        <v>36</v>
      </c>
      <c r="J43" s="10" t="s">
        <v>87</v>
      </c>
      <c r="K43" s="11" t="s">
        <v>88</v>
      </c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10" t="s">
        <v>89</v>
      </c>
      <c r="K44" s="11"/>
    </row>
    <row r="45" customFormat="false" ht="1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12" t="s">
        <v>90</v>
      </c>
      <c r="K45" s="11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12" t="s">
        <v>91</v>
      </c>
      <c r="K46" s="11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10" t="s">
        <v>92</v>
      </c>
      <c r="K47" s="11"/>
    </row>
    <row r="48" customFormat="false" ht="23.2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10" t="s">
        <v>93</v>
      </c>
      <c r="K48" s="11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12" t="s">
        <v>94</v>
      </c>
      <c r="K49" s="11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12" t="s">
        <v>95</v>
      </c>
      <c r="K50" s="11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12" t="s">
        <v>96</v>
      </c>
      <c r="K51" s="11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10" t="s">
        <v>97</v>
      </c>
      <c r="K52" s="11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10" t="s">
        <v>98</v>
      </c>
      <c r="K53" s="11"/>
    </row>
    <row r="54" customFormat="false" ht="15" hidden="false" customHeight="true" outlineLevel="0" collapsed="false">
      <c r="A54" s="11" t="n">
        <v>6</v>
      </c>
      <c r="B54" s="13" t="s">
        <v>99</v>
      </c>
      <c r="C54" s="16" t="s">
        <v>46</v>
      </c>
      <c r="D54" s="14" t="s">
        <v>100</v>
      </c>
      <c r="E54" s="14" t="s">
        <v>101</v>
      </c>
      <c r="F54" s="14" t="s">
        <v>102</v>
      </c>
      <c r="G54" s="14" t="s">
        <v>103</v>
      </c>
      <c r="H54" s="15" t="s">
        <v>104</v>
      </c>
      <c r="I54" s="11" t="s">
        <v>36</v>
      </c>
      <c r="J54" s="10" t="s">
        <v>105</v>
      </c>
      <c r="K54" s="5" t="s">
        <v>106</v>
      </c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2" t="s">
        <v>107</v>
      </c>
      <c r="K55" s="5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2" t="s">
        <v>108</v>
      </c>
      <c r="K56" s="5"/>
    </row>
    <row r="57" customFormat="false" ht="23.2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0" t="s">
        <v>109</v>
      </c>
      <c r="K57" s="5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0" t="s">
        <v>110</v>
      </c>
      <c r="K58" s="5"/>
    </row>
    <row r="59" customFormat="false" ht="23.2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0" t="s">
        <v>111</v>
      </c>
      <c r="K59" s="5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0" t="s">
        <v>112</v>
      </c>
      <c r="K60" s="5"/>
    </row>
    <row r="61" customFormat="false" ht="23.25" hidden="false" customHeight="true" outlineLevel="0" collapsed="false">
      <c r="A61" s="5" t="n">
        <v>7</v>
      </c>
      <c r="B61" s="6" t="s">
        <v>113</v>
      </c>
      <c r="C61" s="17" t="s">
        <v>114</v>
      </c>
      <c r="D61" s="8" t="s">
        <v>115</v>
      </c>
      <c r="E61" s="8" t="s">
        <v>116</v>
      </c>
      <c r="F61" s="8" t="s">
        <v>117</v>
      </c>
      <c r="G61" s="8" t="s">
        <v>118</v>
      </c>
      <c r="H61" s="9" t="s">
        <v>35</v>
      </c>
      <c r="I61" s="5" t="s">
        <v>119</v>
      </c>
      <c r="J61" s="10" t="s">
        <v>120</v>
      </c>
      <c r="K61" s="18" t="s">
        <v>121</v>
      </c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10" t="s">
        <v>122</v>
      </c>
      <c r="K62" s="18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12" t="s">
        <v>123</v>
      </c>
      <c r="K63" s="18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12" t="s">
        <v>124</v>
      </c>
      <c r="K64" s="18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12" t="s">
        <v>125</v>
      </c>
      <c r="K65" s="18"/>
    </row>
    <row r="66" customFormat="false" ht="15" hidden="false" customHeight="true" outlineLevel="0" collapsed="false">
      <c r="A66" s="11" t="n">
        <v>8</v>
      </c>
      <c r="B66" s="13" t="s">
        <v>126</v>
      </c>
      <c r="C66" s="7" t="s">
        <v>14</v>
      </c>
      <c r="D66" s="14" t="s">
        <v>115</v>
      </c>
      <c r="E66" s="14" t="s">
        <v>127</v>
      </c>
      <c r="F66" s="14" t="s">
        <v>128</v>
      </c>
      <c r="G66" s="14" t="s">
        <v>129</v>
      </c>
      <c r="H66" s="15" t="s">
        <v>19</v>
      </c>
      <c r="I66" s="11" t="s">
        <v>36</v>
      </c>
      <c r="J66" s="10" t="s">
        <v>130</v>
      </c>
      <c r="K66" s="5" t="s">
        <v>38</v>
      </c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2" t="s">
        <v>131</v>
      </c>
      <c r="K67" s="5"/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2" t="s">
        <v>132</v>
      </c>
      <c r="K68" s="5"/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0" t="s">
        <v>133</v>
      </c>
      <c r="K69" s="5"/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0" t="s">
        <v>134</v>
      </c>
      <c r="K70" s="5"/>
    </row>
    <row r="71" customFormat="false" ht="23.2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0" t="s">
        <v>135</v>
      </c>
      <c r="K71" s="5"/>
    </row>
    <row r="72" customFormat="false" ht="15" hidden="false" customHeight="true" outlineLevel="0" collapsed="false">
      <c r="A72" s="5" t="n">
        <v>9</v>
      </c>
      <c r="B72" s="6" t="s">
        <v>136</v>
      </c>
      <c r="C72" s="16" t="s">
        <v>46</v>
      </c>
      <c r="D72" s="8" t="s">
        <v>115</v>
      </c>
      <c r="E72" s="8" t="s">
        <v>137</v>
      </c>
      <c r="F72" s="8" t="s">
        <v>138</v>
      </c>
      <c r="G72" s="8" t="s">
        <v>139</v>
      </c>
      <c r="H72" s="9" t="s">
        <v>19</v>
      </c>
      <c r="I72" s="5" t="s">
        <v>36</v>
      </c>
      <c r="J72" s="10" t="s">
        <v>140</v>
      </c>
      <c r="K72" s="11" t="s">
        <v>141</v>
      </c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10" t="s">
        <v>142</v>
      </c>
      <c r="K73" s="11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12" t="s">
        <v>143</v>
      </c>
      <c r="K74" s="11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12" t="s">
        <v>144</v>
      </c>
      <c r="K75" s="11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10" t="s">
        <v>145</v>
      </c>
      <c r="K76" s="11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12" t="s">
        <v>146</v>
      </c>
      <c r="K77" s="11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12" t="s">
        <v>147</v>
      </c>
      <c r="K78" s="11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12" t="s">
        <v>148</v>
      </c>
      <c r="K79" s="11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10" t="s">
        <v>149</v>
      </c>
      <c r="K80" s="11"/>
    </row>
    <row r="81" customFormat="false" ht="15" hidden="false" customHeight="true" outlineLevel="0" collapsed="false">
      <c r="A81" s="11" t="n">
        <v>10</v>
      </c>
      <c r="B81" s="13" t="s">
        <v>150</v>
      </c>
      <c r="C81" s="16" t="s">
        <v>46</v>
      </c>
      <c r="D81" s="14" t="s">
        <v>151</v>
      </c>
      <c r="E81" s="14" t="s">
        <v>152</v>
      </c>
      <c r="F81" s="14" t="s">
        <v>153</v>
      </c>
      <c r="G81" s="14" t="s">
        <v>154</v>
      </c>
      <c r="H81" s="15" t="s">
        <v>104</v>
      </c>
      <c r="I81" s="11" t="s">
        <v>36</v>
      </c>
      <c r="J81" s="10" t="s">
        <v>155</v>
      </c>
      <c r="K81" s="5" t="s">
        <v>156</v>
      </c>
    </row>
    <row r="82" customFormat="false" ht="23.2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2" t="s">
        <v>157</v>
      </c>
      <c r="K82" s="5"/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2" t="s">
        <v>158</v>
      </c>
      <c r="K83" s="5"/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2" t="s">
        <v>159</v>
      </c>
      <c r="K84" s="5"/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0" t="s">
        <v>160</v>
      </c>
      <c r="K85" s="5"/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0" t="s">
        <v>161</v>
      </c>
      <c r="K86" s="5"/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0" t="s">
        <v>162</v>
      </c>
      <c r="K87" s="5"/>
    </row>
    <row r="88" customFormat="false" ht="15" hidden="false" customHeight="true" outlineLevel="0" collapsed="false">
      <c r="A88" s="5" t="n">
        <v>11</v>
      </c>
      <c r="B88" s="6" t="s">
        <v>163</v>
      </c>
      <c r="C88" s="7" t="s">
        <v>14</v>
      </c>
      <c r="D88" s="8" t="s">
        <v>164</v>
      </c>
      <c r="E88" s="8" t="s">
        <v>165</v>
      </c>
      <c r="F88" s="8" t="s">
        <v>166</v>
      </c>
      <c r="G88" s="8" t="s">
        <v>167</v>
      </c>
      <c r="H88" s="9" t="s">
        <v>19</v>
      </c>
      <c r="I88" s="5" t="s">
        <v>168</v>
      </c>
      <c r="J88" s="10" t="s">
        <v>169</v>
      </c>
      <c r="K88" s="11" t="s">
        <v>170</v>
      </c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10" t="s">
        <v>171</v>
      </c>
      <c r="K89" s="11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12" t="s">
        <v>172</v>
      </c>
      <c r="K90" s="11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12" t="s">
        <v>173</v>
      </c>
      <c r="K91" s="11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12" t="s">
        <v>174</v>
      </c>
      <c r="K92" s="11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12" t="s">
        <v>175</v>
      </c>
      <c r="K93" s="11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12" t="s">
        <v>176</v>
      </c>
      <c r="K94" s="11"/>
    </row>
    <row r="95" customFormat="false" ht="15" hidden="false" customHeight="true" outlineLevel="0" collapsed="false">
      <c r="A95" s="11" t="n">
        <v>12</v>
      </c>
      <c r="B95" s="13" t="s">
        <v>177</v>
      </c>
      <c r="C95" s="16" t="s">
        <v>46</v>
      </c>
      <c r="D95" s="14" t="s">
        <v>178</v>
      </c>
      <c r="E95" s="14" t="s">
        <v>179</v>
      </c>
      <c r="F95" s="14" t="s">
        <v>180</v>
      </c>
      <c r="G95" s="14" t="s">
        <v>181</v>
      </c>
      <c r="H95" s="15" t="s">
        <v>35</v>
      </c>
      <c r="I95" s="11" t="s">
        <v>36</v>
      </c>
      <c r="J95" s="10" t="s">
        <v>182</v>
      </c>
      <c r="K95" s="5" t="s">
        <v>183</v>
      </c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2" t="s">
        <v>184</v>
      </c>
      <c r="K96" s="5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2" t="s">
        <v>185</v>
      </c>
      <c r="K97" s="5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0" t="s">
        <v>186</v>
      </c>
      <c r="K98" s="5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0" t="s">
        <v>187</v>
      </c>
      <c r="K99" s="5"/>
    </row>
    <row r="100" customFormat="false" ht="23.2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0" t="s">
        <v>188</v>
      </c>
      <c r="K100" s="5"/>
    </row>
    <row r="101" customFormat="false" ht="15" hidden="false" customHeight="true" outlineLevel="0" collapsed="false">
      <c r="A101" s="5" t="n">
        <v>13</v>
      </c>
      <c r="B101" s="6" t="s">
        <v>189</v>
      </c>
      <c r="C101" s="16" t="s">
        <v>46</v>
      </c>
      <c r="D101" s="8" t="s">
        <v>190</v>
      </c>
      <c r="E101" s="8" t="s">
        <v>191</v>
      </c>
      <c r="F101" s="8" t="s">
        <v>192</v>
      </c>
      <c r="G101" s="8" t="s">
        <v>193</v>
      </c>
      <c r="H101" s="9" t="s">
        <v>104</v>
      </c>
      <c r="I101" s="5" t="s">
        <v>36</v>
      </c>
      <c r="J101" s="10" t="s">
        <v>194</v>
      </c>
      <c r="K101" s="11" t="s">
        <v>106</v>
      </c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12" t="s">
        <v>195</v>
      </c>
      <c r="K102" s="11"/>
    </row>
    <row r="103" customFormat="false" ht="1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12" t="s">
        <v>196</v>
      </c>
      <c r="K103" s="11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10" t="s">
        <v>197</v>
      </c>
      <c r="K104" s="11"/>
    </row>
    <row r="105" customFormat="false" ht="1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10" t="s">
        <v>198</v>
      </c>
      <c r="K105" s="11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10" t="s">
        <v>199</v>
      </c>
      <c r="K106" s="11"/>
    </row>
    <row r="107" customFormat="false" ht="23.25" hidden="false" customHeight="true" outlineLevel="0" collapsed="false">
      <c r="A107" s="11" t="n">
        <v>14</v>
      </c>
      <c r="B107" s="13" t="s">
        <v>200</v>
      </c>
      <c r="C107" s="16" t="s">
        <v>46</v>
      </c>
      <c r="D107" s="14" t="s">
        <v>201</v>
      </c>
      <c r="E107" s="14" t="s">
        <v>202</v>
      </c>
      <c r="F107" s="14" t="s">
        <v>203</v>
      </c>
      <c r="G107" s="14" t="s">
        <v>204</v>
      </c>
      <c r="H107" s="15" t="s">
        <v>35</v>
      </c>
      <c r="I107" s="11" t="s">
        <v>36</v>
      </c>
      <c r="J107" s="10" t="s">
        <v>205</v>
      </c>
      <c r="K107" s="5" t="s">
        <v>206</v>
      </c>
    </row>
    <row r="108" customFormat="false" ht="1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0" t="s">
        <v>207</v>
      </c>
      <c r="K108" s="5"/>
    </row>
    <row r="109" customFormat="false" ht="1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2" t="s">
        <v>208</v>
      </c>
      <c r="K109" s="5"/>
    </row>
    <row r="110" customFormat="false" ht="1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2" t="s">
        <v>209</v>
      </c>
      <c r="K110" s="5"/>
    </row>
    <row r="111" customFormat="false" ht="1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0" t="s">
        <v>210</v>
      </c>
      <c r="K111" s="5"/>
    </row>
    <row r="112" customFormat="false" ht="23.2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0" t="s">
        <v>211</v>
      </c>
      <c r="K112" s="5"/>
    </row>
    <row r="113" customFormat="false" ht="15" hidden="false" customHeight="true" outlineLevel="0" collapsed="false">
      <c r="A113" s="5" t="n">
        <v>15</v>
      </c>
      <c r="B113" s="6" t="s">
        <v>212</v>
      </c>
      <c r="C113" s="16" t="s">
        <v>46</v>
      </c>
      <c r="D113" s="8" t="s">
        <v>213</v>
      </c>
      <c r="E113" s="8" t="s">
        <v>214</v>
      </c>
      <c r="F113" s="8" t="s">
        <v>215</v>
      </c>
      <c r="G113" s="8" t="s">
        <v>216</v>
      </c>
      <c r="H113" s="9" t="s">
        <v>104</v>
      </c>
      <c r="I113" s="5" t="s">
        <v>36</v>
      </c>
      <c r="J113" s="10" t="s">
        <v>217</v>
      </c>
      <c r="K113" s="11" t="s">
        <v>218</v>
      </c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12" t="s">
        <v>219</v>
      </c>
      <c r="K114" s="11"/>
    </row>
    <row r="115" customFormat="false" ht="1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12" t="s">
        <v>220</v>
      </c>
      <c r="K115" s="11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10" t="s">
        <v>221</v>
      </c>
      <c r="K116" s="11"/>
    </row>
    <row r="117" customFormat="false" ht="1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12" t="s">
        <v>222</v>
      </c>
      <c r="K117" s="11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12" t="s">
        <v>223</v>
      </c>
      <c r="K118" s="11"/>
    </row>
    <row r="119" customFormat="false" ht="1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10" t="s">
        <v>224</v>
      </c>
      <c r="K119" s="11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12" t="s">
        <v>225</v>
      </c>
      <c r="K120" s="11"/>
    </row>
    <row r="121" customFormat="false" ht="1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12" t="s">
        <v>226</v>
      </c>
      <c r="K121" s="11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12" t="s">
        <v>227</v>
      </c>
      <c r="K122" s="11"/>
    </row>
    <row r="123" customFormat="false" ht="1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10" t="s">
        <v>228</v>
      </c>
      <c r="K123" s="11"/>
    </row>
    <row r="124" customFormat="false" ht="15" hidden="false" customHeight="true" outlineLevel="0" collapsed="false">
      <c r="A124" s="11" t="n">
        <v>16</v>
      </c>
      <c r="B124" s="13" t="s">
        <v>229</v>
      </c>
      <c r="C124" s="16" t="s">
        <v>46</v>
      </c>
      <c r="D124" s="14" t="s">
        <v>230</v>
      </c>
      <c r="E124" s="14" t="s">
        <v>231</v>
      </c>
      <c r="F124" s="14" t="s">
        <v>232</v>
      </c>
      <c r="G124" s="14" t="s">
        <v>233</v>
      </c>
      <c r="H124" s="15" t="s">
        <v>35</v>
      </c>
      <c r="I124" s="11" t="s">
        <v>36</v>
      </c>
      <c r="J124" s="10" t="s">
        <v>234</v>
      </c>
      <c r="K124" s="5" t="s">
        <v>183</v>
      </c>
    </row>
    <row r="125" customFormat="false" ht="1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2" t="s">
        <v>235</v>
      </c>
      <c r="K125" s="5"/>
    </row>
    <row r="126" customFormat="false" ht="1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2" t="s">
        <v>236</v>
      </c>
      <c r="K126" s="5"/>
    </row>
    <row r="127" customFormat="false" ht="1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0" t="s">
        <v>237</v>
      </c>
      <c r="K127" s="5"/>
    </row>
    <row r="128" customFormat="false" ht="1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2" t="s">
        <v>238</v>
      </c>
      <c r="K128" s="5"/>
    </row>
    <row r="129" customFormat="false" ht="1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2" t="s">
        <v>239</v>
      </c>
      <c r="K129" s="5"/>
    </row>
    <row r="130" customFormat="false" ht="1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2" t="s">
        <v>240</v>
      </c>
      <c r="K130" s="5"/>
    </row>
    <row r="131" customFormat="false" ht="1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0" t="s">
        <v>241</v>
      </c>
      <c r="K131" s="5"/>
    </row>
    <row r="132" customFormat="false" ht="1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0" t="s">
        <v>242</v>
      </c>
      <c r="K132" s="5"/>
    </row>
    <row r="133" customFormat="false" ht="1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0" t="s">
        <v>243</v>
      </c>
      <c r="K133" s="5"/>
    </row>
    <row r="134" customFormat="false" ht="23.25" hidden="false" customHeight="true" outlineLevel="0" collapsed="false">
      <c r="A134" s="5" t="n">
        <v>17</v>
      </c>
      <c r="B134" s="6" t="s">
        <v>244</v>
      </c>
      <c r="C134" s="16" t="s">
        <v>46</v>
      </c>
      <c r="D134" s="8" t="s">
        <v>245</v>
      </c>
      <c r="E134" s="8" t="s">
        <v>246</v>
      </c>
      <c r="F134" s="8" t="s">
        <v>247</v>
      </c>
      <c r="G134" s="8" t="s">
        <v>248</v>
      </c>
      <c r="H134" s="9" t="s">
        <v>35</v>
      </c>
      <c r="I134" s="5" t="s">
        <v>36</v>
      </c>
      <c r="J134" s="10" t="s">
        <v>249</v>
      </c>
      <c r="K134" s="11" t="s">
        <v>250</v>
      </c>
    </row>
    <row r="135" customFormat="false" ht="1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12" t="s">
        <v>251</v>
      </c>
      <c r="K135" s="11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12" t="s">
        <v>252</v>
      </c>
      <c r="K136" s="11"/>
    </row>
    <row r="137" customFormat="false" ht="1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12" t="s">
        <v>253</v>
      </c>
      <c r="K137" s="11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10" t="s">
        <v>254</v>
      </c>
      <c r="K138" s="11"/>
    </row>
    <row r="139" customFormat="false" ht="1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12" t="s">
        <v>255</v>
      </c>
      <c r="K139" s="11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12" t="s">
        <v>256</v>
      </c>
      <c r="K140" s="11"/>
    </row>
    <row r="141" customFormat="false" ht="1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12" t="s">
        <v>257</v>
      </c>
      <c r="K141" s="11"/>
    </row>
    <row r="142" customFormat="false" ht="23.2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10" t="s">
        <v>258</v>
      </c>
      <c r="K142" s="11"/>
    </row>
    <row r="143" customFormat="false" ht="1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12" t="s">
        <v>259</v>
      </c>
      <c r="K143" s="11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12" t="s">
        <v>260</v>
      </c>
      <c r="K144" s="11"/>
    </row>
    <row r="145" customFormat="false" ht="1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12" t="s">
        <v>261</v>
      </c>
      <c r="K145" s="11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10" t="s">
        <v>262</v>
      </c>
      <c r="K146" s="11"/>
    </row>
    <row r="147" customFormat="false" ht="1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12" t="s">
        <v>263</v>
      </c>
      <c r="K147" s="11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12" t="s">
        <v>264</v>
      </c>
      <c r="K148" s="11"/>
    </row>
    <row r="149" customFormat="false" ht="23.2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12" t="s">
        <v>265</v>
      </c>
      <c r="K149" s="11"/>
    </row>
    <row r="150" customFormat="false" ht="23.2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10" t="s">
        <v>266</v>
      </c>
      <c r="K150" s="11"/>
    </row>
    <row r="151" customFormat="false" ht="15" hidden="false" customHeight="true" outlineLevel="0" collapsed="false">
      <c r="A151" s="11" t="n">
        <v>18</v>
      </c>
      <c r="B151" s="13" t="s">
        <v>267</v>
      </c>
      <c r="C151" s="16" t="s">
        <v>46</v>
      </c>
      <c r="D151" s="14" t="s">
        <v>268</v>
      </c>
      <c r="E151" s="14" t="s">
        <v>269</v>
      </c>
      <c r="F151" s="14" t="s">
        <v>270</v>
      </c>
      <c r="G151" s="14" t="s">
        <v>271</v>
      </c>
      <c r="H151" s="15" t="s">
        <v>104</v>
      </c>
      <c r="I151" s="11" t="s">
        <v>36</v>
      </c>
      <c r="J151" s="10" t="s">
        <v>272</v>
      </c>
      <c r="K151" s="5" t="s">
        <v>156</v>
      </c>
    </row>
    <row r="152" customFormat="false" ht="1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2" t="s">
        <v>273</v>
      </c>
      <c r="K152" s="5"/>
    </row>
    <row r="153" customFormat="false" ht="1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2" t="s">
        <v>274</v>
      </c>
      <c r="K153" s="5"/>
    </row>
    <row r="154" customFormat="false" ht="1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2" t="s">
        <v>275</v>
      </c>
      <c r="K154" s="5"/>
    </row>
    <row r="155" customFormat="false" ht="1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0" t="s">
        <v>276</v>
      </c>
      <c r="K155" s="5"/>
    </row>
    <row r="156" customFormat="false" ht="1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0" t="s">
        <v>277</v>
      </c>
      <c r="K156" s="5"/>
    </row>
    <row r="157" customFormat="false" ht="1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0" t="s">
        <v>278</v>
      </c>
      <c r="K157" s="5"/>
    </row>
    <row r="158" customFormat="false" ht="15" hidden="false" customHeight="true" outlineLevel="0" collapsed="false">
      <c r="A158" s="5" t="n">
        <v>19</v>
      </c>
      <c r="B158" s="6" t="s">
        <v>279</v>
      </c>
      <c r="C158" s="16" t="s">
        <v>46</v>
      </c>
      <c r="D158" s="8" t="s">
        <v>230</v>
      </c>
      <c r="E158" s="8" t="s">
        <v>280</v>
      </c>
      <c r="F158" s="8" t="s">
        <v>281</v>
      </c>
      <c r="G158" s="8" t="s">
        <v>282</v>
      </c>
      <c r="H158" s="9" t="s">
        <v>104</v>
      </c>
      <c r="I158" s="5" t="s">
        <v>283</v>
      </c>
      <c r="J158" s="10" t="s">
        <v>284</v>
      </c>
      <c r="K158" s="11" t="s">
        <v>106</v>
      </c>
    </row>
    <row r="159" customFormat="false" ht="1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10" t="s">
        <v>285</v>
      </c>
      <c r="K159" s="11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12" t="s">
        <v>286</v>
      </c>
      <c r="K160" s="11"/>
    </row>
    <row r="161" customFormat="false" ht="1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12" t="s">
        <v>287</v>
      </c>
      <c r="K161" s="11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12" t="s">
        <v>288</v>
      </c>
      <c r="K162" s="11"/>
    </row>
    <row r="163" customFormat="false" ht="1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12" t="s">
        <v>289</v>
      </c>
      <c r="K163" s="11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10" t="s">
        <v>290</v>
      </c>
      <c r="K164" s="11"/>
    </row>
    <row r="165" customFormat="false" ht="1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10" t="s">
        <v>291</v>
      </c>
      <c r="K165" s="11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10" t="s">
        <v>292</v>
      </c>
      <c r="K166" s="11"/>
    </row>
  </sheetData>
  <mergeCells count="192">
    <mergeCell ref="A1:K1"/>
    <mergeCell ref="A2:K2"/>
    <mergeCell ref="A5:A12"/>
    <mergeCell ref="B5:B12"/>
    <mergeCell ref="C5:C12"/>
    <mergeCell ref="D5:D12"/>
    <mergeCell ref="E5:E12"/>
    <mergeCell ref="F5:F12"/>
    <mergeCell ref="G5:G12"/>
    <mergeCell ref="H5:H12"/>
    <mergeCell ref="I5:I12"/>
    <mergeCell ref="K5:K12"/>
    <mergeCell ref="A13:A19"/>
    <mergeCell ref="B13:B19"/>
    <mergeCell ref="C13:C19"/>
    <mergeCell ref="D13:D19"/>
    <mergeCell ref="E13:E19"/>
    <mergeCell ref="F13:F19"/>
    <mergeCell ref="G13:G19"/>
    <mergeCell ref="H13:H19"/>
    <mergeCell ref="I13:I19"/>
    <mergeCell ref="K13:K19"/>
    <mergeCell ref="A20:A33"/>
    <mergeCell ref="B20:B33"/>
    <mergeCell ref="C20:C33"/>
    <mergeCell ref="D20:D33"/>
    <mergeCell ref="E20:E33"/>
    <mergeCell ref="F20:F33"/>
    <mergeCell ref="G20:G33"/>
    <mergeCell ref="H20:H33"/>
    <mergeCell ref="I20:I33"/>
    <mergeCell ref="K20:K33"/>
    <mergeCell ref="A34:A42"/>
    <mergeCell ref="B34:B42"/>
    <mergeCell ref="C34:C42"/>
    <mergeCell ref="D34:D42"/>
    <mergeCell ref="E34:E42"/>
    <mergeCell ref="F34:F42"/>
    <mergeCell ref="G34:G42"/>
    <mergeCell ref="H34:H42"/>
    <mergeCell ref="I34:I42"/>
    <mergeCell ref="K34:K42"/>
    <mergeCell ref="A43:A53"/>
    <mergeCell ref="B43:B53"/>
    <mergeCell ref="C43:C53"/>
    <mergeCell ref="D43:D53"/>
    <mergeCell ref="E43:E53"/>
    <mergeCell ref="F43:F53"/>
    <mergeCell ref="G43:G53"/>
    <mergeCell ref="H43:H53"/>
    <mergeCell ref="I43:I53"/>
    <mergeCell ref="K43:K53"/>
    <mergeCell ref="A54:A60"/>
    <mergeCell ref="B54:B60"/>
    <mergeCell ref="C54:C60"/>
    <mergeCell ref="D54:D60"/>
    <mergeCell ref="E54:E60"/>
    <mergeCell ref="F54:F60"/>
    <mergeCell ref="G54:G60"/>
    <mergeCell ref="H54:H60"/>
    <mergeCell ref="I54:I60"/>
    <mergeCell ref="K54:K60"/>
    <mergeCell ref="A61:A65"/>
    <mergeCell ref="B61:B65"/>
    <mergeCell ref="C61:C65"/>
    <mergeCell ref="D61:D65"/>
    <mergeCell ref="E61:E65"/>
    <mergeCell ref="F61:F65"/>
    <mergeCell ref="G61:G65"/>
    <mergeCell ref="H61:H65"/>
    <mergeCell ref="I61:I65"/>
    <mergeCell ref="K61:K65"/>
    <mergeCell ref="A66:A71"/>
    <mergeCell ref="B66:B71"/>
    <mergeCell ref="C66:C71"/>
    <mergeCell ref="D66:D71"/>
    <mergeCell ref="E66:E71"/>
    <mergeCell ref="F66:F71"/>
    <mergeCell ref="G66:G71"/>
    <mergeCell ref="H66:H71"/>
    <mergeCell ref="I66:I71"/>
    <mergeCell ref="K66:K71"/>
    <mergeCell ref="A72:A80"/>
    <mergeCell ref="B72:B80"/>
    <mergeCell ref="C72:C80"/>
    <mergeCell ref="D72:D80"/>
    <mergeCell ref="E72:E80"/>
    <mergeCell ref="F72:F80"/>
    <mergeCell ref="G72:G80"/>
    <mergeCell ref="H72:H80"/>
    <mergeCell ref="I72:I80"/>
    <mergeCell ref="K72:K80"/>
    <mergeCell ref="A81:A87"/>
    <mergeCell ref="B81:B87"/>
    <mergeCell ref="C81:C87"/>
    <mergeCell ref="D81:D87"/>
    <mergeCell ref="E81:E87"/>
    <mergeCell ref="F81:F87"/>
    <mergeCell ref="G81:G87"/>
    <mergeCell ref="H81:H87"/>
    <mergeCell ref="I81:I87"/>
    <mergeCell ref="K81:K87"/>
    <mergeCell ref="A88:A94"/>
    <mergeCell ref="B88:B94"/>
    <mergeCell ref="C88:C94"/>
    <mergeCell ref="D88:D94"/>
    <mergeCell ref="E88:E94"/>
    <mergeCell ref="F88:F94"/>
    <mergeCell ref="G88:G94"/>
    <mergeCell ref="H88:H94"/>
    <mergeCell ref="I88:I94"/>
    <mergeCell ref="K88:K94"/>
    <mergeCell ref="A95:A100"/>
    <mergeCell ref="B95:B100"/>
    <mergeCell ref="C95:C100"/>
    <mergeCell ref="D95:D100"/>
    <mergeCell ref="E95:E100"/>
    <mergeCell ref="F95:F100"/>
    <mergeCell ref="G95:G100"/>
    <mergeCell ref="H95:H100"/>
    <mergeCell ref="I95:I100"/>
    <mergeCell ref="K95:K100"/>
    <mergeCell ref="A101:A106"/>
    <mergeCell ref="B101:B106"/>
    <mergeCell ref="C101:C106"/>
    <mergeCell ref="D101:D106"/>
    <mergeCell ref="E101:E106"/>
    <mergeCell ref="F101:F106"/>
    <mergeCell ref="G101:G106"/>
    <mergeCell ref="H101:H106"/>
    <mergeCell ref="I101:I106"/>
    <mergeCell ref="K101:K106"/>
    <mergeCell ref="A107:A112"/>
    <mergeCell ref="B107:B112"/>
    <mergeCell ref="C107:C112"/>
    <mergeCell ref="D107:D112"/>
    <mergeCell ref="E107:E112"/>
    <mergeCell ref="F107:F112"/>
    <mergeCell ref="G107:G112"/>
    <mergeCell ref="H107:H112"/>
    <mergeCell ref="I107:I112"/>
    <mergeCell ref="K107:K112"/>
    <mergeCell ref="A113:A123"/>
    <mergeCell ref="B113:B123"/>
    <mergeCell ref="C113:C123"/>
    <mergeCell ref="D113:D123"/>
    <mergeCell ref="E113:E123"/>
    <mergeCell ref="F113:F123"/>
    <mergeCell ref="G113:G123"/>
    <mergeCell ref="H113:H123"/>
    <mergeCell ref="I113:I123"/>
    <mergeCell ref="K113:K123"/>
    <mergeCell ref="A124:A133"/>
    <mergeCell ref="B124:B133"/>
    <mergeCell ref="C124:C133"/>
    <mergeCell ref="D124:D133"/>
    <mergeCell ref="E124:E133"/>
    <mergeCell ref="F124:F133"/>
    <mergeCell ref="G124:G133"/>
    <mergeCell ref="H124:H133"/>
    <mergeCell ref="I124:I133"/>
    <mergeCell ref="K124:K133"/>
    <mergeCell ref="A134:A150"/>
    <mergeCell ref="B134:B150"/>
    <mergeCell ref="C134:C150"/>
    <mergeCell ref="D134:D150"/>
    <mergeCell ref="E134:E150"/>
    <mergeCell ref="F134:F150"/>
    <mergeCell ref="G134:G150"/>
    <mergeCell ref="H134:H150"/>
    <mergeCell ref="I134:I150"/>
    <mergeCell ref="K134:K150"/>
    <mergeCell ref="A151:A157"/>
    <mergeCell ref="B151:B157"/>
    <mergeCell ref="C151:C157"/>
    <mergeCell ref="D151:D157"/>
    <mergeCell ref="E151:E157"/>
    <mergeCell ref="F151:F157"/>
    <mergeCell ref="G151:G157"/>
    <mergeCell ref="H151:H157"/>
    <mergeCell ref="I151:I157"/>
    <mergeCell ref="K151:K157"/>
    <mergeCell ref="A158:A166"/>
    <mergeCell ref="B158:B166"/>
    <mergeCell ref="C158:C166"/>
    <mergeCell ref="D158:D166"/>
    <mergeCell ref="E158:E166"/>
    <mergeCell ref="F158:F166"/>
    <mergeCell ref="G158:G166"/>
    <mergeCell ref="H158:H166"/>
    <mergeCell ref="I158:I166"/>
    <mergeCell ref="K158:K1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50"/>
    <col collapsed="false" customWidth="true" hidden="false" outlineLevel="0" max="4" min="4" style="1" width="25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293</v>
      </c>
      <c r="B1" s="2"/>
      <c r="C1" s="2"/>
      <c r="D1" s="2"/>
      <c r="E1" s="2"/>
    </row>
    <row r="3" customFormat="false" ht="15" hidden="false" customHeight="true" outlineLevel="0" collapsed="false">
      <c r="A3" s="4" t="s">
        <v>4</v>
      </c>
      <c r="B3" s="4" t="s">
        <v>294</v>
      </c>
      <c r="C3" s="4" t="s">
        <v>295</v>
      </c>
      <c r="D3" s="4" t="s">
        <v>296</v>
      </c>
      <c r="E3" s="4" t="s">
        <v>297</v>
      </c>
    </row>
    <row r="4" customFormat="false" ht="57" hidden="false" customHeight="true" outlineLevel="0" collapsed="false">
      <c r="A4" s="19" t="s">
        <v>46</v>
      </c>
      <c r="B4" s="20" t="n">
        <v>13</v>
      </c>
      <c r="C4" s="21" t="s">
        <v>298</v>
      </c>
      <c r="D4" s="20" t="s">
        <v>299</v>
      </c>
      <c r="E4" s="21" t="s">
        <v>300</v>
      </c>
    </row>
    <row r="5" customFormat="false" ht="23.25" hidden="false" customHeight="true" outlineLevel="0" collapsed="false">
      <c r="A5" s="22" t="s">
        <v>14</v>
      </c>
      <c r="B5" s="20" t="n">
        <v>5</v>
      </c>
      <c r="C5" s="21" t="s">
        <v>301</v>
      </c>
      <c r="D5" s="20" t="s">
        <v>302</v>
      </c>
      <c r="E5" s="21" t="s">
        <v>303</v>
      </c>
    </row>
    <row r="6" customFormat="false" ht="15" hidden="false" customHeight="true" outlineLevel="0" collapsed="false">
      <c r="A6" s="23" t="s">
        <v>114</v>
      </c>
      <c r="B6" s="20" t="n">
        <v>1</v>
      </c>
      <c r="C6" s="20" t="s">
        <v>304</v>
      </c>
      <c r="D6" s="20" t="s">
        <v>305</v>
      </c>
      <c r="E6" s="20" t="s">
        <v>306</v>
      </c>
    </row>
    <row r="8" customFormat="false" ht="15" hidden="false" customHeight="true" outlineLevel="0" collapsed="false">
      <c r="A8" s="24" t="s">
        <v>307</v>
      </c>
      <c r="B8" s="24" t="n">
        <f aca="false">SUM(B4:B6)</f>
        <v>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25"/>
    <col collapsed="false" customWidth="true" hidden="false" outlineLevel="0" max="5" min="5" style="1" width="50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5" t="s">
        <v>308</v>
      </c>
      <c r="B1" s="25"/>
      <c r="C1" s="25"/>
      <c r="D1" s="25"/>
      <c r="E1" s="25"/>
      <c r="F1" s="25"/>
    </row>
    <row r="3" customFormat="false" ht="15" hidden="false" customHeight="true" outlineLevel="0" collapsed="false">
      <c r="A3" s="26" t="s">
        <v>2</v>
      </c>
      <c r="B3" s="26" t="s">
        <v>3</v>
      </c>
      <c r="C3" s="26" t="s">
        <v>309</v>
      </c>
      <c r="D3" s="26" t="s">
        <v>310</v>
      </c>
      <c r="E3" s="26" t="s">
        <v>311</v>
      </c>
      <c r="F3" s="26" t="s">
        <v>312</v>
      </c>
    </row>
    <row r="4" customFormat="false" ht="23.25" hidden="false" customHeight="true" outlineLevel="0" collapsed="false">
      <c r="A4" s="27" t="n">
        <v>1</v>
      </c>
      <c r="B4" s="28" t="s">
        <v>313</v>
      </c>
      <c r="C4" s="28" t="s">
        <v>314</v>
      </c>
      <c r="D4" s="28" t="s">
        <v>315</v>
      </c>
      <c r="E4" s="28" t="s">
        <v>316</v>
      </c>
      <c r="F4" s="29" t="s">
        <v>317</v>
      </c>
    </row>
    <row r="5" customFormat="false" ht="34.5" hidden="false" customHeight="true" outlineLevel="0" collapsed="false">
      <c r="A5" s="30" t="n">
        <v>2</v>
      </c>
      <c r="B5" s="31" t="s">
        <v>318</v>
      </c>
      <c r="C5" s="31" t="s">
        <v>319</v>
      </c>
      <c r="D5" s="31" t="s">
        <v>320</v>
      </c>
      <c r="E5" s="31" t="s">
        <v>321</v>
      </c>
      <c r="F5" s="29" t="s">
        <v>317</v>
      </c>
    </row>
    <row r="6" customFormat="false" ht="34.5" hidden="false" customHeight="true" outlineLevel="0" collapsed="false">
      <c r="A6" s="27" t="n">
        <v>3</v>
      </c>
      <c r="B6" s="28" t="s">
        <v>115</v>
      </c>
      <c r="C6" s="28" t="s">
        <v>319</v>
      </c>
      <c r="D6" s="28" t="s">
        <v>320</v>
      </c>
      <c r="E6" s="28" t="s">
        <v>322</v>
      </c>
      <c r="F6" s="29" t="s">
        <v>317</v>
      </c>
    </row>
    <row r="7" customFormat="false" ht="23.25" hidden="false" customHeight="true" outlineLevel="0" collapsed="false">
      <c r="A7" s="30" t="n">
        <v>4</v>
      </c>
      <c r="B7" s="31" t="s">
        <v>323</v>
      </c>
      <c r="C7" s="31" t="s">
        <v>324</v>
      </c>
      <c r="D7" s="31" t="s">
        <v>325</v>
      </c>
      <c r="E7" s="31" t="s">
        <v>326</v>
      </c>
      <c r="F7" s="29" t="s">
        <v>317</v>
      </c>
    </row>
    <row r="8" customFormat="false" ht="23.25" hidden="false" customHeight="true" outlineLevel="0" collapsed="false">
      <c r="A8" s="27" t="n">
        <v>5</v>
      </c>
      <c r="B8" s="28" t="s">
        <v>327</v>
      </c>
      <c r="C8" s="28" t="s">
        <v>328</v>
      </c>
      <c r="D8" s="28" t="s">
        <v>329</v>
      </c>
      <c r="E8" s="28" t="s">
        <v>330</v>
      </c>
      <c r="F8" s="29" t="s">
        <v>317</v>
      </c>
    </row>
    <row r="9" customFormat="false" ht="34.5" hidden="false" customHeight="true" outlineLevel="0" collapsed="false">
      <c r="A9" s="30" t="n">
        <v>6</v>
      </c>
      <c r="B9" s="31" t="s">
        <v>331</v>
      </c>
      <c r="C9" s="31" t="s">
        <v>332</v>
      </c>
      <c r="D9" s="31" t="s">
        <v>329</v>
      </c>
      <c r="E9" s="31" t="s">
        <v>333</v>
      </c>
      <c r="F9" s="29" t="s">
        <v>317</v>
      </c>
    </row>
    <row r="10" customFormat="false" ht="23.25" hidden="false" customHeight="true" outlineLevel="0" collapsed="false">
      <c r="A10" s="27" t="n">
        <v>7</v>
      </c>
      <c r="B10" s="28" t="s">
        <v>47</v>
      </c>
      <c r="C10" s="28" t="s">
        <v>334</v>
      </c>
      <c r="D10" s="28" t="s">
        <v>335</v>
      </c>
      <c r="E10" s="28" t="s">
        <v>336</v>
      </c>
      <c r="F10" s="29" t="s">
        <v>317</v>
      </c>
    </row>
    <row r="11" customFormat="false" ht="23.25" hidden="false" customHeight="true" outlineLevel="0" collapsed="false">
      <c r="A11" s="30" t="n">
        <v>8</v>
      </c>
      <c r="B11" s="31" t="s">
        <v>337</v>
      </c>
      <c r="C11" s="31" t="s">
        <v>338</v>
      </c>
      <c r="D11" s="31" t="s">
        <v>339</v>
      </c>
      <c r="E11" s="31" t="s">
        <v>340</v>
      </c>
      <c r="F11" s="29" t="s">
        <v>317</v>
      </c>
    </row>
    <row r="12" customFormat="false" ht="34.5" hidden="false" customHeight="true" outlineLevel="0" collapsed="false">
      <c r="A12" s="27" t="n">
        <v>9</v>
      </c>
      <c r="B12" s="28" t="s">
        <v>341</v>
      </c>
      <c r="C12" s="28" t="s">
        <v>342</v>
      </c>
      <c r="D12" s="28" t="s">
        <v>343</v>
      </c>
      <c r="E12" s="28" t="s">
        <v>344</v>
      </c>
      <c r="F12" s="29" t="s">
        <v>317</v>
      </c>
    </row>
    <row r="13" customFormat="false" ht="23.25" hidden="false" customHeight="true" outlineLevel="0" collapsed="false">
      <c r="A13" s="30" t="n">
        <v>10</v>
      </c>
      <c r="B13" s="31" t="s">
        <v>345</v>
      </c>
      <c r="C13" s="31" t="s">
        <v>346</v>
      </c>
      <c r="D13" s="31" t="s">
        <v>347</v>
      </c>
      <c r="E13" s="31" t="s">
        <v>348</v>
      </c>
      <c r="F13" s="29" t="s">
        <v>317</v>
      </c>
    </row>
    <row r="14" customFormat="false" ht="23.25" hidden="false" customHeight="true" outlineLevel="0" collapsed="false">
      <c r="A14" s="27" t="n">
        <v>11</v>
      </c>
      <c r="B14" s="28" t="s">
        <v>349</v>
      </c>
      <c r="C14" s="28" t="s">
        <v>346</v>
      </c>
      <c r="D14" s="28" t="s">
        <v>350</v>
      </c>
      <c r="E14" s="28" t="s">
        <v>351</v>
      </c>
      <c r="F14" s="29" t="s">
        <v>317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2026-03-03T09:58:29Z</dcterms:created>
  <dc:creator>openpyxl</dc:creator>
  <dc:description/>
  <dc:language>en-US</dc:language>
  <cp:lastModifiedBy/>
  <dcterms:modified xsi:type="dcterms:W3CDTF">2026-03-03T10:01:55Z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