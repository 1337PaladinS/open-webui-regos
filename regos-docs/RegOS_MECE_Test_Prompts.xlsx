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CE Test Prompts" sheetId="1" state="visible" r:id="rId3"/>
    <sheet name="MECE Coverage Matrix" sheetId="2" state="visible" r:id="rId4"/>
  </sheets>
  <definedNames>
    <definedName function="false" hidden="true" localSheetId="0" name="_xlnm._FilterDatabase" vbProcedure="false">'MECE Test Prompts'!$A$1:$G$1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<sst xmlns="http://schemas.openxmlformats.org/spreadsheetml/2006/main" count="350" uniqueCount="255">
  <si>
    <t xml:space="preserve">#</t>
  </si>
  <si>
    <t xml:space="preserve">Functional Area</t>
  </si>
  <si>
    <t xml:space="preserve">Sub-Feature</t>
  </si>
  <si>
    <t xml:space="preserve">Test Prompt (Copy &amp; Paste into RegOS)</t>
  </si>
  <si>
    <t xml:space="preserve">Expected Behavior / What to Verify</t>
  </si>
  <si>
    <t xml:space="preserve">Pass/Fail</t>
  </si>
  <si>
    <t xml:space="preserve">Notes</t>
  </si>
  <si>
    <t xml:space="preserve">  GraphRAG Retrieval Pipeline</t>
  </si>
  <si>
    <t xml:space="preserve">GraphRAG Retrieval Pipeline</t>
  </si>
  <si>
    <t xml:space="preserve">Step 1: Document Fulltext Search</t>
  </si>
  <si>
    <t xml:space="preserve">What are the effluent discharge limits under Chapter 24?</t>
  </si>
  <si>
    <t xml:space="preserve">Response cites specific sections (e.g., Sec. 24-42) with [G1], [G2] markers. Confidence badge appears. Sections retrieved via fulltext match on 'effluent discharge limits'.</t>
  </si>
  <si>
    <t xml:space="preserve">Step 2: Entity Name Matching + Traversal</t>
  </si>
  <si>
    <t xml:space="preserve">Tell me about Biochemical Oxygen Demand regulations in Miami-Dade.</t>
  </si>
  <si>
    <t xml:space="preserve">Entity 'Biochemical Oxygen Demand' matched in Ch24Entity nodes. Traversal via MENTIONS_ENTITY returns parent Ch24Document sections. Response includes BOD-specific regulatory text.</t>
  </si>
  <si>
    <t xml:space="preserve">Step 3: Concept Expansion</t>
  </si>
  <si>
    <t xml:space="preserve">What does Chapter 24 say about stormwater management?</t>
  </si>
  <si>
    <t xml:space="preserve">Concept STORMWATER_MANAGEMENT activates, expanding to sections 24-42.8, 24-51, 24-21.1 via RELATES_TO_CONCEPT. Response covers stormwater broadly, not just keyword matches.</t>
  </si>
  <si>
    <t xml:space="preserve">Step 4: Direct Fulltext (Broad)</t>
  </si>
  <si>
    <t xml:space="preserve">Are there any rules about grease interceptors for restaurants?</t>
  </si>
  <si>
    <t xml:space="preserve">FOG-related sections retrieved. Direct fulltext catches sections mentioning 'grease interceptor' that may not have been found in steps 1-3. Deduplication ensures no repeated sections.</t>
  </si>
  <si>
    <t xml:space="preserve">Multi-Step Deduplication</t>
  </si>
  <si>
    <t xml:space="preserve">What are the pretreatment requirements for industrial wastewater discharge to the sewer system?</t>
  </si>
  <si>
    <t xml:space="preserve">Multiple pipeline steps produce overlapping results. Final context shows max_sections (5) unique sections, no duplicates. Section IDs are deduplicated correctly.</t>
  </si>
  <si>
    <t xml:space="preserve">  Confidence Scoring</t>
  </si>
  <si>
    <t xml:space="preserve">Confidence Scoring</t>
  </si>
  <si>
    <t xml:space="preserve">HIGH Confidence Band</t>
  </si>
  <si>
    <t xml:space="preserve">What is the maximum BOD limit for sewage treatment plant effluent under Section 24-42?</t>
  </si>
  <si>
    <t xml:space="preserve">Confidence badge shows HIGH (≥0.70). Specific section reference drives strong entity + document match. Disclaimer is minimal ('Review cited sections for your specific facility context').</t>
  </si>
  <si>
    <t xml:space="preserve">MEDIUM Confidence Band</t>
  </si>
  <si>
    <t xml:space="preserve">How does Chapter 24 address noise from construction equipment near residential areas?</t>
  </si>
  <si>
    <t xml:space="preserve">Confidence badge shows MEDIUM (0.45–0.69). Noise control sections found but coverage is partial. Disclaimer acknowledges 'some applicable sections may not have been retrieved'.</t>
  </si>
  <si>
    <t xml:space="preserve">LOW Confidence Band</t>
  </si>
  <si>
    <t xml:space="preserve">What does Chapter 24 say about drone usage over wellfield protection zones?</t>
  </si>
  <si>
    <t xml:space="preserve">Confidence badge shows LOW (&lt;0.45). Sparse or tangential results. Disclaimer warns: 'Limited regulatory context was retrieved' and suggests rephrasing.</t>
  </si>
  <si>
    <t xml:space="preserve">6-Signal Breakdown (with show_trace)</t>
  </si>
  <si>
    <t xml:space="preserve">What are the dissolved oxygen requirements for surface water discharge?</t>
  </si>
  <si>
    <t xml:space="preserve">Enable show_trace valve. Response includes raw signal breakdown: avg_doc, doc_count, concept, section_count, graph_exclusive, direct. Verify each signal is computed and displayed.</t>
  </si>
  <si>
    <t xml:space="preserve">  Threshold Evaluation</t>
  </si>
  <si>
    <t xml:space="preserve">Threshold Evaluation</t>
  </si>
  <si>
    <t xml:space="preserve">COMPLIANT Verdict</t>
  </si>
  <si>
    <t xml:space="preserve">Our wastewater treatment plant measured BOD at 22 mg/l in the latest sample. Is this compliant?</t>
  </si>
  <si>
    <t xml:space="preserve">Deterministic evaluation: BOD 22 mg/l vs max 30 mg/l → COMPLIANT. Compliance Determination table appended with parameter, measured value, limit, status, margin, % of limit, evidence hash.</t>
  </si>
  <si>
    <t xml:space="preserve">BREACH Verdict</t>
  </si>
  <si>
    <t xml:space="preserve">We're seeing suspended solids at 55 mg/l in our discharge. Does this meet Chapter 24 requirements?</t>
  </si>
  <si>
    <t xml:space="preserve">Deterministic evaluation: TSS 55 mg/l vs max 40 mg/l → BREACH. Table shows 'exceeds limit by 15 mg/l' (137.5% of limit). Evidence hash generated.</t>
  </si>
  <si>
    <t xml:space="preserve">BORDERLINE Verdict</t>
  </si>
  <si>
    <t xml:space="preserve">Our latest dissolved oxygen reading is 2.15 mg/l. Are we within the Chapter 24 minimum?</t>
  </si>
  <si>
    <t xml:space="preserve">Deterministic evaluation: DO 2.15 mg/l vs min 2.0 mg/l → BORDERLINE (within 10% of limit). Table shows 'within limit by 0.15 mg/l'. Status is BORDERLINE, not COMPLIANT.</t>
  </si>
  <si>
    <t xml:space="preserve">Multi-Parameter Detection</t>
  </si>
  <si>
    <t xml:space="preserve">Our discharge report shows BOD at 28 mg/l, TSS at 35 mg/l, and dissolved oxygen at 3.5 mg/l. Are all parameters compliant?</t>
  </si>
  <si>
    <t xml:space="preserve">Three separate threshold evaluations in one response. BOD: COMPLIANT. TSS: COMPLIANT. DO: COMPLIANT. Three Compliance Determination tables appended, each with its own evidence hash.</t>
  </si>
  <si>
    <t xml:space="preserve">Temperature (Unit Detection)</t>
  </si>
  <si>
    <t xml:space="preserve">Effluent temperature at our outfall is 93°F discharging to a freshwater canal. Is this a violation?</t>
  </si>
  <si>
    <t xml:space="preserve">Temperature 93°F vs max 92°F freshwater → BREACH. Unit detection correctly parses °F. Section ref 24_42. Evidence hash generated.</t>
  </si>
  <si>
    <t xml:space="preserve">Heavy Metals</t>
  </si>
  <si>
    <t xml:space="preserve">Lab results show copper concentration at 0.8 mg/l in our industrial discharge. Is this within limits?</t>
  </si>
  <si>
    <t xml:space="preserve">Copper 0.8 mg/l evaluated against the Chapter 24 copper threshold. Compliance Determination table with COMPLIANT/BREACH status, margin, and evidence hash.</t>
  </si>
  <si>
    <t xml:space="preserve">No Threshold Found</t>
  </si>
  <si>
    <t xml:space="preserve">Our facility detected radon at 15 pCi/L in the groundwater. Does Chapter 24 have a limit for this?</t>
  </si>
  <si>
    <t xml:space="preserve">Response indicates NO_THRESHOLD_FOUND for radon. No Compliance Determination table. LLM explains that Chapter 24 doesn't contain a specific radon threshold.</t>
  </si>
  <si>
    <t xml:space="preserve">Facility Disambiguation (Auto-Resolved)</t>
  </si>
  <si>
    <t xml:space="preserve">Our tertiary treatment plant effluent shows BOD at 18 mg/l. Is this compliant?</t>
  </si>
  <si>
    <t xml:space="preserve">Keyword 'tertiary treatment plant' auto-resolves to section 24_42.1 limits (stricter). Evaluation uses correct facility-specific threshold. 'Other Limits' row shows alternate limits for different facility classes.</t>
  </si>
  <si>
    <t xml:space="preserve">Facility Disambiguation (NEEDS_CLARIFICATION)</t>
  </si>
  <si>
    <t xml:space="preserve">Is a BOD level of 25 mg/l acceptable for our discharge?</t>
  </si>
  <si>
    <t xml:space="preserve">Multiple thresholds match (surface water vs industrial pretreatment vs tertiary). No facility context keywords detected. Response asks user to clarify which facility type applies, presenting numbered options.</t>
  </si>
  <si>
    <t xml:space="preserve">  Guardrails</t>
  </si>
  <si>
    <t xml:space="preserve">Guardrails</t>
  </si>
  <si>
    <t xml:space="preserve">Out-of-Scope (Keyword Block)</t>
  </si>
  <si>
    <t xml:space="preserve">What are the OSHA requirements for fall protection at construction sites?</t>
  </si>
  <si>
    <t xml:space="preserve">Guardrail triggers BEFORE graph search. Response shows 'Outside Regulatory Scope' notice. No LLM response generated. Guardrail ref ID (GRD-YYYYMMDD-XXXX) shown. Query never reaches LLM.</t>
  </si>
  <si>
    <t xml:space="preserve">Out-of-Scope (Multiple Keywords)</t>
  </si>
  <si>
    <t xml:space="preserve">Does EPA federal law or the building code override Chapter 24 for zoning near waterways?</t>
  </si>
  <si>
    <t xml:space="preserve">Multiple exclusion keywords matched (EPA federal, building code, zoning). Guardrail notice references all matched keywords. Single GRD reference generated.</t>
  </si>
  <si>
    <t xml:space="preserve">Jurisdiction Mismatch (Foreign Country)</t>
  </si>
  <si>
    <t xml:space="preserve">What are the wastewater discharge limits in Saudi Arabia?</t>
  </si>
  <si>
    <t xml:space="preserve">Jurisdiction guardrail triggers. Notice: 'Outside Applicable Jurisdiction' — references Saudi Arabia. Suggests contacting local environmental authority. GRD ref generated.</t>
  </si>
  <si>
    <t xml:space="preserve">Jurisdiction Mismatch (US State)</t>
  </si>
  <si>
    <t xml:space="preserve">How do Texas environmental regulations compare to Chapter 24 for industrial discharge?</t>
  </si>
  <si>
    <t xml:space="preserve">Jurisdiction guardrail triggers for 'Texas'. Notice explains Chapter 24 applies only to Miami-Dade County. GRD ref generated.</t>
  </si>
  <si>
    <t xml:space="preserve">Jurisdiction Allowlist Pass-Through</t>
  </si>
  <si>
    <t xml:space="preserve">What are the discharge requirements for a facility in South Florida near Miami-Dade?</t>
  </si>
  <si>
    <t xml:space="preserve">Allowlist terms ('miami-dade', 'south florida') detected. Guardrail does NOT trigger despite geographic reference. Normal GraphRAG response with regulatory sections.</t>
  </si>
  <si>
    <t xml:space="preserve">Zero Retrieval</t>
  </si>
  <si>
    <t xml:space="preserve">What is the protocol for quantum computing chip fabrication waste under Chapter 24?</t>
  </si>
  <si>
    <t xml:space="preserve">Graph search returns zero entities AND zero sections. Zero-retrieval guardrail triggers. Notice: 'No Regulatory Context Found'. Suggests rephrasing with Chapter 24 terminology. GRD ref generated.</t>
  </si>
  <si>
    <t xml:space="preserve">  Neo4j Failover</t>
  </si>
  <si>
    <t xml:space="preserve">Neo4j Failover</t>
  </si>
  <si>
    <t xml:space="preserve">Degraded Mode (KB-Only Fallback)</t>
  </si>
  <si>
    <t xml:space="preserve">[Test: Break Neo4j password in Valves, then ask]
What are the requirements for grease interceptor maintenance?</t>
  </si>
  <si>
    <t xml:space="preserve">Neo4j connection fails. With neo4j_fallback_to_kb=True, query proceeds with Knowledge Base only. Response includes 'Degraded Mode — Knowledge Base Only' banner. No graph citations (no [G1] markers). Audit logged.</t>
  </si>
  <si>
    <t xml:space="preserve">Hard Block Mode</t>
  </si>
  <si>
    <t xml:space="preserve">[Test: Break Neo4j password AND set neo4j_fallback_to_kb=False, then ask]
What are the BOD discharge limits?</t>
  </si>
  <si>
    <t xml:space="preserve">Neo4j connection fails. With fallback disabled, guardrail triggers with type='neo4j_unavailable'. Notice: 'System Temporarily Unavailable'. Query blocked entirely. GRD ref generated.</t>
  </si>
  <si>
    <t xml:space="preserve">Recovery After Failure</t>
  </si>
  <si>
    <t xml:space="preserve">[Test: Restore correct Neo4j password, then ask]
What are the stormwater management requirements?</t>
  </si>
  <si>
    <t xml:space="preserve">After restoring connection, driver reinitializes (self._driver was set to None on failure). Normal GraphRAG response resumes with graph citations. No degraded mode banner.</t>
  </si>
  <si>
    <t xml:space="preserve">  Document Analysis</t>
  </si>
  <si>
    <t xml:space="preserve">Document Analysis</t>
  </si>
  <si>
    <t xml:space="preserve">PDF Upload</t>
  </si>
  <si>
    <t xml:space="preserve">[Upload a PDF permit application, then ask]
Review this permit application for compliance issues.</t>
  </si>
  <si>
    <t xml:space="preserve">PDF converted to page images via pdftoppm. Sent to GPT-4o vision model. Analysis injected: document type, structure, content summary, form fields, issues. Primary model reasons over the analysis.</t>
  </si>
  <si>
    <t xml:space="preserve">Excel Spreadsheet Upload</t>
  </si>
  <si>
    <t xml:space="preserve">[Upload an .xlsx lab results file, then ask]
Check if any parameters in this lab report exceed Chapter 24 limits.</t>
  </si>
  <si>
    <t xml:space="preserve">Excel converted via LibreOffice → PDF → images. Vision model extracts table data. If numeric values detected, threshold evaluation may trigger. Analysis covers all data points found.</t>
  </si>
  <si>
    <t xml:space="preserve">Image Upload (Photo of Form)</t>
  </si>
  <si>
    <t xml:space="preserve">[Upload a photo/screenshot of a compliance form, then ask]
What form is this and what fields need attention?</t>
  </si>
  <si>
    <t xml:space="preserve">Image sent directly to vision model (no conversion needed). Analysis identifies form type, lists all fields, flags empty or suspicious entries. Regulatory search terms extracted from analysis for Neo4j.</t>
  </si>
  <si>
    <t xml:space="preserve">Word Document Upload</t>
  </si>
  <si>
    <t xml:space="preserve">[Upload a .docx inspection report, then ask]
Summarize this inspection report and flag any violations.</t>
  </si>
  <si>
    <t xml:space="preserve">DOCX converted via LibreOffice → PDF → images. Vision analysis extracts text, identifies violation references, cross-references with Chapter 24 sections via graph search.</t>
  </si>
  <si>
    <t xml:space="preserve">PowerPoint Upload</t>
  </si>
  <si>
    <t xml:space="preserve">[Upload a .pptx presentation, then ask]
Does this compliance training deck accurately reference Chapter 24?</t>
  </si>
  <si>
    <t xml:space="preserve">PPTX converted to images. Vision model reads slide content. GraphRAG searches for referenced sections to verify accuracy against actual Chapter 24 text.</t>
  </si>
  <si>
    <t xml:space="preserve">  Escalation</t>
  </si>
  <si>
    <t xml:space="preserve">Escalation</t>
  </si>
  <si>
    <t xml:space="preserve">Auto-Escalation (Low Confidence)</t>
  </si>
  <si>
    <t xml:space="preserve">What does Chapter 24 say about electromagnetic interference from power lines near water treatment facilities?</t>
  </si>
  <si>
    <t xml:space="preserve">Sparse retrieval → LOW confidence (&lt;0.65 threshold). Escalation triggers. 'Expert Review Initiated' notice appended with case ref (REG-YYYYMMDD-XXXX). Audit record flagged. Webhook fires if configured.</t>
  </si>
  <si>
    <t xml:space="preserve">No Escalation (High Confidence)</t>
  </si>
  <si>
    <t xml:space="preserve">What is the maximum allowable turbidity for discharge under Section 24-42?</t>
  </si>
  <si>
    <t xml:space="preserve">Strong retrieval → HIGH confidence (≥0.65). No escalation. Normal response with confidence badge and disclaimer. No 'Expert Review' notice.</t>
  </si>
  <si>
    <t xml:space="preserve">Escalation with Webhook</t>
  </si>
  <si>
    <t xml:space="preserve">[Ensure escalation_webhook_url is set to an n8n endpoint, then ask]
What are the setback requirements for development near mangrove wetlands?</t>
  </si>
  <si>
    <t xml:space="preserve">If confidence is below threshold, full case packet POSTed to webhook: case_ref, reason, user info, query, response, confidence signals, conversation history, graph context.</t>
  </si>
  <si>
    <t xml:space="preserve">  Enterprise Format</t>
  </si>
  <si>
    <t xml:space="preserve">Enterprise Format</t>
  </si>
  <si>
    <t xml:space="preserve">Structured Response (enterprise_format=True)</t>
  </si>
  <si>
    <t xml:space="preserve">What permits are required for discharging industrial wastewater into the Miami-Dade sewer system?</t>
  </si>
  <si>
    <t xml:space="preserve">Response follows system prompt structure: Summary → Regulatory Analysis → Applicable Sections (table) → What You Need To Do → Gaps &amp; Limitations. [G1]-style citations throughout.</t>
  </si>
  <si>
    <t xml:space="preserve">Unstructured Response (enterprise_format=False)</t>
  </si>
  <si>
    <t xml:space="preserve">[Set enterprise_format=False in Valves, then ask]
What are the FOG requirements for restaurants?</t>
  </si>
  <si>
    <t xml:space="preserve">Response is conversational, no structured headings. Graph context still injected but LLM responds naturally without enforced section format. Citations may be informal.</t>
  </si>
  <si>
    <t xml:space="preserve">Persona: Citizen</t>
  </si>
  <si>
    <t xml:space="preserve">I'm a homeowner. Can I connect my pool drainage to the storm drain?</t>
  </si>
  <si>
    <t xml:space="preserve">Response uses accessible language appropriate for a citizen persona. Explains regulations without jargon. Provides clear 'What You Need To Do' steps for a non-expert.</t>
  </si>
  <si>
    <t xml:space="preserve">Persona: Consultant</t>
  </si>
  <si>
    <t xml:space="preserve">As an environmental consultant, I need to understand the pretreatment standards for a Class I industrial user discharging to the POTW. What are the categorical limits?</t>
  </si>
  <si>
    <t xml:space="preserve">Response uses technical language appropriate for a consultant. Includes specific section references, threshold tables, cross-references between related sections. Professional analysis format.</t>
  </si>
  <si>
    <t xml:space="preserve">Persona: Regulator</t>
  </si>
  <si>
    <t xml:space="preserve">I'm reviewing a facility's compliance history. What enforcement mechanisms does Chapter 24 provide for repeat violations of discharge limits?</t>
  </si>
  <si>
    <t xml:space="preserve">Response addresses enforcement provisions: penalties, NOV process, EQCB hearings. Cites enforcement sections. Structured for regulatory review workflow.</t>
  </si>
  <si>
    <t xml:space="preserve">  Audit &amp; Logging</t>
  </si>
  <si>
    <t xml:space="preserve">Audit &amp; Logging</t>
  </si>
  <si>
    <t xml:space="preserve">Audit Record Creation</t>
  </si>
  <si>
    <t xml:space="preserve">What are the dissolved oxygen requirements for canal discharge?</t>
  </si>
  <si>
    <t xml:space="preserve">After response, verify audit_logger.py captured: query_text, response_text, confidence_score, confidence_signals (JSON), escalation_triggered, guardrail_triggered, record_hash (SHA-256). Check SQLite DB.</t>
  </si>
  <si>
    <t xml:space="preserve">Breach DB Logging</t>
  </si>
  <si>
    <t xml:space="preserve">Our discharge has BOD at 45 mg/l. Is this compliant?</t>
  </si>
  <si>
    <t xml:space="preserve">Threshold evaluation (BREACH) logged to breach DB: timestamp, parameter, user_value (45), threshold_value (30), status (BREACH), margin (-15), evidence_hash. Verify regos_breaches.db entry.</t>
  </si>
  <si>
    <t xml:space="preserve">Guardrail Audit Entry</t>
  </si>
  <si>
    <t xml:space="preserve">What are the OSHA workplace safety requirements?</t>
  </si>
  <si>
    <t xml:space="preserve">Guardrail triggers. Audit record includes: guardrail_triggered=1, guardrail_type='out_of_scope', guardrail_reason (references OSHA). SHA-256 record hash computed.</t>
  </si>
  <si>
    <t xml:space="preserve">  Sidecar API</t>
  </si>
  <si>
    <t xml:space="preserve">Sidecar API</t>
  </si>
  <si>
    <t xml:space="preserve">Blocking Query</t>
  </si>
  <si>
    <t xml:space="preserve">curl -X POST http://localhost:8300/api/regos/query -H "Content-Type: application/json" -d '{"question": "What are the BOD limits for wastewater discharge?"}'</t>
  </si>
  <si>
    <t xml:space="preserve">Returns JSON: {id, question, answer (full enriched response), model, chat_id, created_at}. Answer includes confidence badge, citations, threshold results if applicable.</t>
  </si>
  <si>
    <t xml:space="preserve">Streaming Query</t>
  </si>
  <si>
    <t xml:space="preserve">curl -N -X POST http://localhost:8300/api/regos/query -H "Content-Type: application/json" -d '{"question": "What are the discharge limits?", "stream": true}'</t>
  </si>
  <si>
    <t xml:space="preserve">Returns SSE stream with incremental tokens. Final response assembled by client. Stream ends with [DONE] marker.</t>
  </si>
  <si>
    <t xml:space="preserve">Health Check</t>
  </si>
  <si>
    <t xml:space="preserve">curl http://localhost:8300/api/regos/health</t>
  </si>
  <si>
    <t xml:space="preserve">Returns {status: 'ok', model: 'better-hardeepai', target: '&lt;openwebui-url&gt;'}. Confirms sidecar is running and can reach Open WebUI.</t>
  </si>
  <si>
    <t xml:space="preserve">Info Endpoint</t>
  </si>
  <si>
    <t xml:space="preserve">curl http://localhost:8300/api/regos/info</t>
  </si>
  <si>
    <t xml:space="preserve">Returns system info: version, model_id, openwebui_url. Useful for integration verification.</t>
  </si>
  <si>
    <t xml:space="preserve">  Trace &amp; Debug</t>
  </si>
  <si>
    <t xml:space="preserve">Trace &amp; Debug</t>
  </si>
  <si>
    <t xml:space="preserve">Show Trace Output</t>
  </si>
  <si>
    <t xml:space="preserve">[Set show_trace=True in Valves, then ask]
What are the turbidity limits for discharge?</t>
  </si>
  <si>
    <t xml:space="preserve">Full retrieval trace appended to response: entities found, traversal results, concept expansions, section scores, timing per step. Shows exact Neo4j query results.</t>
  </si>
  <si>
    <t xml:space="preserve">Debug Mode</t>
  </si>
  <si>
    <t xml:space="preserve">[Set debug=True in Valves, then ask]
What does Chapter 24 say about wellfield protection zones?</t>
  </si>
  <si>
    <t xml:space="preserve">Debug info appended to system prompt (not visible to user in UI, but visible in trace). Shows retrieval pipeline internals injected into LLM context.</t>
  </si>
  <si>
    <t xml:space="preserve">  Edge Cases</t>
  </si>
  <si>
    <t xml:space="preserve">Edge Cases</t>
  </si>
  <si>
    <t xml:space="preserve">Empty Query</t>
  </si>
  <si>
    <t xml:space="preserve">Filter handles gracefully. Either passes through to LLM (which handles empty input) or guardrail catches it. No Python exceptions.</t>
  </si>
  <si>
    <t xml:space="preserve">Very Long Query (&gt;1000 chars)</t>
  </si>
  <si>
    <t xml:space="preserve">I need a comprehensive analysis of all the regulatory requirements under Miami-Dade County Chapter 24 that would apply to a new industrial facility planning to discharge process wastewater containing heavy metals including copper, lead, zinc, chromium, nickel, and cadmium, as well as conventional pollutants like BOD, TSS, and oil and grease, into the sanitary sewer system, with specific attention to pretreatment standards, self-monitoring requirements, reporting obligations, and penalties for non-compliance, particularly for a facility classified as a Significant Industrial User. I need a comprehensive analysis of all the regulatory requirements under Miami-Dade County Chapter 24 that would apply to a new industrial facility planning to discharge process wastewater containing heavy metals including copper, lead, zinc, chromium, nickel, and cadmium, as well as conventional pollutants like BOD, TSS, and oil and grease, into the sanitary sewer system, with specific attention to pretreatment standards, self-monitoring requirements, reporting obligations, and penalties for non-compliance, particularly for a facility classified as a Significant Industrial User. </t>
  </si>
  <si>
    <t xml:space="preserve">Lucene query escaped properly. Search terms extracted (not entire query sent). Multiple entities matched. Response covers heavy metals, pretreatment, SIU requirements. No truncation errors.</t>
  </si>
  <si>
    <t xml:space="preserve">Special Characters in Query</t>
  </si>
  <si>
    <t xml:space="preserve">What is the limit for pH (6.0-8.5)? Also check BOD ≤ 30mg/l &amp; TSS.</t>
  </si>
  <si>
    <t xml:space="preserve">Lucene special characters escaped: parentheses, hyphen, ampersand, less-than-or-equal. No query parsing errors. Threshold detection still finds pH, BOD, TSS values.</t>
  </si>
  <si>
    <t xml:space="preserve">Non-English Query</t>
  </si>
  <si>
    <t xml:space="preserve">¿Cuáles son los límites de descarga de aguas residuales según el Capítulo 24?</t>
  </si>
  <si>
    <t xml:space="preserve">Filter processes query (may have lower retrieval since graph is English). No crashes. Either retrieves some results or zero-retrieval guardrail triggers gracefully.</t>
  </si>
  <si>
    <t xml:space="preserve">Conversational / Non-Regulatory Query</t>
  </si>
  <si>
    <t xml:space="preserve">Hello! How are you today?</t>
  </si>
  <si>
    <t xml:space="preserve">No regulatory entities or sections found. Zero-retrieval guardrail may trigger. Or if guardrail_enabled=False, LLM responds conversationally with low/no confidence badge.</t>
  </si>
  <si>
    <t xml:space="preserve">Multiple File Upload</t>
  </si>
  <si>
    <t xml:space="preserve">[Upload 2-3 files simultaneously, then ask]
Compare these documents for compliance.</t>
  </si>
  <si>
    <t xml:space="preserve">Each file analyzed independently by vision model. All analyses injected into conversation. Primary model sees combined analysis and can compare across documents.</t>
  </si>
  <si>
    <t xml:space="preserve">  Valve Configuration</t>
  </si>
  <si>
    <t xml:space="preserve">Valve Configuration</t>
  </si>
  <si>
    <t xml:space="preserve">Filter Disabled</t>
  </si>
  <si>
    <t xml:space="preserve">[Set enabled=False in Valves, then ask]
What are the BOD limits?</t>
  </si>
  <si>
    <t xml:space="preserve">Filter is bypassed entirely. No graph search, no confidence, no threshold evaluation, no guardrails. Raw LLM response without any RegOS enrichment.</t>
  </si>
  <si>
    <t xml:space="preserve">Guardrails Disabled</t>
  </si>
  <si>
    <t xml:space="preserve">[Set guardrail_enabled=False, then ask]
What are the OSHA requirements?</t>
  </si>
  <si>
    <t xml:space="preserve">Out-of-scope guardrail does NOT trigger. Query proceeds to graph search. Likely returns zero results with low confidence but LLM still attempts a response.</t>
  </si>
  <si>
    <t xml:space="preserve">Threshold Check Disabled</t>
  </si>
  <si>
    <t xml:space="preserve">[Set threshold_check_enabled=False, then ask]
Our BOD is 45 mg/l. Is this compliant?</t>
  </si>
  <si>
    <t xml:space="preserve">No deterministic threshold evaluation. No Compliance Determination table. LLM answers based on graph context only (may still reference BOD limits but without programmatic verification).</t>
  </si>
  <si>
    <t xml:space="preserve">Max Sections Adjustment</t>
  </si>
  <si>
    <t xml:space="preserve">[Set max_sections=2, then ask]
Explain all the industrial pretreatment requirements.</t>
  </si>
  <si>
    <t xml:space="preserve">Only 2 sections retrieved (instead of default 5). Response is narrower. Confidence may be lower due to reduced section_count signal.</t>
  </si>
  <si>
    <t xml:space="preserve">Escalation Threshold Adjustment</t>
  </si>
  <si>
    <t xml:space="preserve">[Set escalation_threshold=0.90, then ask]
What are the dissolved oxygen requirements?</t>
  </si>
  <si>
    <t xml:space="preserve">With threshold raised to 0.90, even HIGH-confidence queries may trigger escalation. Verify escalation notice appears for a query that would normally not escalate.</t>
  </si>
  <si>
    <t xml:space="preserve">  Citations &amp; Disclaimers</t>
  </si>
  <si>
    <t xml:space="preserve">Citations &amp; Disclaimers</t>
  </si>
  <si>
    <t xml:space="preserve">Graph-Only Citations</t>
  </si>
  <si>
    <t xml:space="preserve">What are the stormwater retention requirements under Chapter 24?</t>
  </si>
  <si>
    <t xml:space="preserve">Citations marked as [G1], [G2], etc. Response starts with '[GraphRAG]' prefix. Each factual claim has a citation. Sources section lists section references with IDs.</t>
  </si>
  <si>
    <t xml:space="preserve">Graph + KB Combined Citations</t>
  </si>
  <si>
    <t xml:space="preserve">[Ensure Knowledge Base documents are uploaded to Open WebUI, then ask]
What are the wellfield protection zone requirements?</t>
  </si>
  <si>
    <t xml:space="preserve">Response starts with '[GraphRAG + KB]'. Graph citations use [G1] markers. KB citations use their existing markers. Both sources referenced in the response.</t>
  </si>
  <si>
    <t xml:space="preserve">Confidence-Adaptive Disclaimer</t>
  </si>
  <si>
    <t xml:space="preserve">[Compare disclaimers across HIGH, MEDIUM, and LOW confidence responses]</t>
  </si>
  <si>
    <t xml:space="preserve">HIGH: Minimal footer ('Review cited sections for your specific facility context'). MEDIUM: 'Some applicable sections may not have been retrieved'. LOW: 'Limited regulatory context' + rephrasing suggestion.</t>
  </si>
  <si>
    <t xml:space="preserve">  APAS Telemetry</t>
  </si>
  <si>
    <t xml:space="preserve">APAS Telemetry</t>
  </si>
  <si>
    <t xml:space="preserve">Temperature Mapping (Active)</t>
  </si>
  <si>
    <t xml:space="preserve">Our SCADA system reports effluent temperature of 33°C. Is this within Chapter 24 limits?</t>
  </si>
  <si>
    <t xml:space="preserve">Temperature converted from °C to °F (33°C = 91.4°F). Evaluated against 92°F freshwater / 95°F marine thresholds. APAS metric mapping: rtu.*.temperature → Temperature parameter. COMPLIANT for freshwater.</t>
  </si>
  <si>
    <t xml:space="preserve">Unmapped Metric</t>
  </si>
  <si>
    <t xml:space="preserve">Our wet well level is at 4.2 meters. Does Chapter 24 have a limit for this?</t>
  </si>
  <si>
    <t xml:space="preserve">Wet well level has no Chapter 24 threshold (evaluate: false in mappings). Response indicates no regulatory threshold found. Explains this is an operational metric only.</t>
  </si>
  <si>
    <t xml:space="preserve"># Prompts</t>
  </si>
  <si>
    <t xml:space="preserve">Mutually Exclusive?</t>
  </si>
  <si>
    <t xml:space="preserve">Collectively Exhaustive?</t>
  </si>
  <si>
    <t xml:space="preserve">Coverage Notes</t>
  </si>
  <si>
    <t xml:space="preserve">Yes</t>
  </si>
  <si>
    <t xml:space="preserve">All 4 pipeline steps tested individually + deduplication. No overlap with other categories.</t>
  </si>
  <si>
    <t xml:space="preserve">All 3 bands (HIGH/MEDIUM/LOW) + signal breakdown. Scoring logic is distinct from retrieval.</t>
  </si>
  <si>
    <t xml:space="preserve">COMPLIANT/BREACH/BORDERLINE/NO_THRESHOLD + multi-param + disambiguation + heavy metals + temperature. Only category testing deterministic evaluation.</t>
  </si>
  <si>
    <t xml:space="preserve">All 4 guardrail types (out_of_scope, jurisdiction, zero_retrieval, neo4j_unavailable) + allowlist pass-through. Distinct from confidence/escalation.</t>
  </si>
  <si>
    <t xml:space="preserve">Degraded mode, hard block, recovery. Only category testing connection failure handling.</t>
  </si>
  <si>
    <t xml:space="preserve">All supported file types: PDF, XLSX, images, DOCX, PPTX. Only category testing vision model integration.</t>
  </si>
  <si>
    <t xml:space="preserve">Auto-escalation trigger, no-escalation baseline, webhook delivery. Distinct from guardrails (escalation = soft flag, guardrails = hard block).</t>
  </si>
  <si>
    <t xml:space="preserve">Structured vs unstructured format + 3 persona tests. Only category testing response formatting.</t>
  </si>
  <si>
    <t xml:space="preserve">Audit record, breach DB, guardrail audit. Only category testing persistence/logging layer.</t>
  </si>
  <si>
    <t xml:space="preserve">Blocking, streaming, health, info endpoints. Only category testing HTTP API layer.</t>
  </si>
  <si>
    <t xml:space="preserve">Show trace + debug mode. Only category testing observability features.</t>
  </si>
  <si>
    <t xml:space="preserve">Empty, long, special chars, non-English, conversational, multi-file. Boundary conditions not covered elsewhere.</t>
  </si>
  <si>
    <t xml:space="preserve">Filter disabled, guardrails disabled, thresholds disabled, max_sections, escalation threshold. Only category testing runtime configuration.</t>
  </si>
  <si>
    <t xml:space="preserve">Graph-only, Graph+KB, confidence-adaptive disclaimers. Only category testing citation mechanics.</t>
  </si>
  <si>
    <t xml:space="preserve">Active mapping (temperature) + unmapped metric. Only category testing SCADA integration layer.</t>
  </si>
  <si>
    <t xml:space="preserve">TOTAL</t>
  </si>
  <si>
    <t xml:space="preserve">15 categories</t>
  </si>
  <si>
    <t xml:space="preserve">Full pipeline</t>
  </si>
  <si>
    <t xml:space="preserve">Covers: research → retrieve → evaluate → guard → score → escalate → log → format → serve → debug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</si>
</sst>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1B4F72"/>
      <name val="Arial"/>
      <family val="0"/>
      <charset val="1"/>
    </font>
    <font>
      <sz val="10"/>
      <name val="Arial"/>
      <family val="0"/>
      <charset val="1"/>
    </font>
    <font>
      <sz val="10"/>
      <color rgb="FF006100"/>
      <name val="Arial"/>
      <family val="0"/>
      <charset val="1"/>
    </font>
    <font>
      <b val="true"/>
      <sz val="10"/>
      <name val="Arial"/>
      <family val="0"/>
      <charset val="1"/>
    </font>
  </fonts>
  <fills count="5">
    <fill>
      <patternFill patternType="none"/>
    </fill>
    <fill>
      <patternFill patternType="gray125"/>
    </fill>
    <fill>
      <patternFill patternType="solid">
        <fgColor rgb="FF1B4F72"/>
        <bgColor rgb="FF333399"/>
      </patternFill>
    </fill>
    <fill>
      <patternFill patternType="solid">
        <fgColor rgb="FFD6EAF8"/>
        <bgColor rgb="FFC6EFCE"/>
      </patternFill>
    </fill>
    <fill>
      <patternFill patternType="solid">
        <fgColor rgb="FFC6EFCE"/>
        <bgColor rgb="FFD6EAF8"/>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4F72"/>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CCCCC"/>
      <rgbColor rgb="FF808080"/>
      <rgbColor rgb="FF9999FF"/>
      <rgbColor rgb="FF993366"/>
      <rgbColor rgb="FFFFFFCC"/>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4F7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8"/>
    <col collapsed="false" customWidth="true" hidden="false" outlineLevel="0" max="4" min="4" style="0" width="60"/>
    <col collapsed="false" customWidth="true" hidden="false" outlineLevel="0" max="5" min="5" style="0" width="40"/>
    <col collapsed="false" customWidth="true" hidden="false" outlineLevel="0" max="6" min="6" style="0" width="14"/>
    <col collapsed="false" customWidth="true" hidden="false" outlineLevel="0" max="7" min="7" style="0" width="30"/>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s">
        <v>7</v>
      </c>
      <c r="B2" s="2"/>
      <c r="C2" s="2"/>
      <c r="D2" s="2"/>
      <c r="E2" s="2"/>
      <c r="F2" s="2"/>
      <c r="G2" s="2"/>
    </row>
    <row r="3" customFormat="false" ht="46.25" hidden="false" customHeight="false" outlineLevel="0" collapsed="false">
      <c r="A3" s="3" t="n">
        <v>1</v>
      </c>
      <c r="B3" s="4" t="s">
        <v>8</v>
      </c>
      <c r="C3" s="4" t="s">
        <v>9</v>
      </c>
      <c r="D3" s="4" t="s">
        <v>10</v>
      </c>
      <c r="E3" s="4" t="s">
        <v>11</v>
      </c>
      <c r="F3" s="5"/>
      <c r="G3" s="6"/>
    </row>
    <row r="4" customFormat="false" ht="57.45" hidden="false" customHeight="false" outlineLevel="0" collapsed="false">
      <c r="A4" s="3" t="n">
        <v>2</v>
      </c>
      <c r="B4" s="4" t="s">
        <v>8</v>
      </c>
      <c r="C4" s="4" t="s">
        <v>12</v>
      </c>
      <c r="D4" s="4" t="s">
        <v>13</v>
      </c>
      <c r="E4" s="4" t="s">
        <v>14</v>
      </c>
      <c r="F4" s="5"/>
      <c r="G4" s="6"/>
    </row>
    <row r="5" customFormat="false" ht="57.45" hidden="false" customHeight="false" outlineLevel="0" collapsed="false">
      <c r="A5" s="3" t="n">
        <v>3</v>
      </c>
      <c r="B5" s="4" t="s">
        <v>8</v>
      </c>
      <c r="C5" s="4" t="s">
        <v>15</v>
      </c>
      <c r="D5" s="4" t="s">
        <v>16</v>
      </c>
      <c r="E5" s="4" t="s">
        <v>17</v>
      </c>
      <c r="F5" s="5"/>
      <c r="G5" s="6"/>
    </row>
    <row r="6" customFormat="false" ht="46.25" hidden="false" customHeight="false" outlineLevel="0" collapsed="false">
      <c r="A6" s="3" t="n">
        <v>4</v>
      </c>
      <c r="B6" s="4" t="s">
        <v>8</v>
      </c>
      <c r="C6" s="4" t="s">
        <v>18</v>
      </c>
      <c r="D6" s="4" t="s">
        <v>19</v>
      </c>
      <c r="E6" s="4" t="s">
        <v>20</v>
      </c>
      <c r="F6" s="5"/>
      <c r="G6" s="6"/>
    </row>
    <row r="7" customFormat="false" ht="46.25" hidden="false" customHeight="false" outlineLevel="0" collapsed="false">
      <c r="A7" s="3" t="n">
        <v>5</v>
      </c>
      <c r="B7" s="4" t="s">
        <v>8</v>
      </c>
      <c r="C7" s="4" t="s">
        <v>21</v>
      </c>
      <c r="D7" s="4" t="s">
        <v>22</v>
      </c>
      <c r="E7" s="4" t="s">
        <v>23</v>
      </c>
      <c r="F7" s="5"/>
      <c r="G7" s="6"/>
    </row>
    <row r="9" customFormat="false" ht="15" hidden="false" customHeight="false" outlineLevel="0" collapsed="false">
      <c r="A9" s="2" t="s">
        <v>24</v>
      </c>
      <c r="B9" s="2"/>
      <c r="C9" s="2"/>
      <c r="D9" s="2"/>
      <c r="E9" s="2"/>
      <c r="F9" s="2"/>
      <c r="G9" s="2"/>
    </row>
    <row r="10" customFormat="false" ht="46.25" hidden="false" customHeight="false" outlineLevel="0" collapsed="false">
      <c r="A10" s="3" t="n">
        <v>6</v>
      </c>
      <c r="B10" s="4" t="s">
        <v>25</v>
      </c>
      <c r="C10" s="4" t="s">
        <v>26</v>
      </c>
      <c r="D10" s="4" t="s">
        <v>27</v>
      </c>
      <c r="E10" s="4" t="s">
        <v>28</v>
      </c>
      <c r="F10" s="5"/>
      <c r="G10" s="6"/>
    </row>
    <row r="11" customFormat="false" ht="57.45" hidden="false" customHeight="false" outlineLevel="0" collapsed="false">
      <c r="A11" s="3" t="n">
        <v>7</v>
      </c>
      <c r="B11" s="4" t="s">
        <v>25</v>
      </c>
      <c r="C11" s="4" t="s">
        <v>29</v>
      </c>
      <c r="D11" s="4" t="s">
        <v>30</v>
      </c>
      <c r="E11" s="4" t="s">
        <v>31</v>
      </c>
      <c r="F11" s="5"/>
      <c r="G11" s="6"/>
    </row>
    <row r="12" customFormat="false" ht="46.25" hidden="false" customHeight="false" outlineLevel="0" collapsed="false">
      <c r="A12" s="3" t="n">
        <v>8</v>
      </c>
      <c r="B12" s="4" t="s">
        <v>25</v>
      </c>
      <c r="C12" s="4" t="s">
        <v>32</v>
      </c>
      <c r="D12" s="4" t="s">
        <v>33</v>
      </c>
      <c r="E12" s="4" t="s">
        <v>34</v>
      </c>
      <c r="F12" s="5"/>
      <c r="G12" s="6"/>
    </row>
    <row r="13" customFormat="false" ht="46.25" hidden="false" customHeight="false" outlineLevel="0" collapsed="false">
      <c r="A13" s="3" t="n">
        <v>9</v>
      </c>
      <c r="B13" s="4" t="s">
        <v>25</v>
      </c>
      <c r="C13" s="4" t="s">
        <v>35</v>
      </c>
      <c r="D13" s="4" t="s">
        <v>36</v>
      </c>
      <c r="E13" s="4" t="s">
        <v>37</v>
      </c>
      <c r="F13" s="5"/>
      <c r="G13" s="6"/>
    </row>
    <row r="15" customFormat="false" ht="15" hidden="false" customHeight="false" outlineLevel="0" collapsed="false">
      <c r="A15" s="2" t="s">
        <v>38</v>
      </c>
      <c r="B15" s="2"/>
      <c r="C15" s="2"/>
      <c r="D15" s="2"/>
      <c r="E15" s="2"/>
      <c r="F15" s="2"/>
      <c r="G15" s="2"/>
    </row>
    <row r="16" customFormat="false" ht="46.25" hidden="false" customHeight="false" outlineLevel="0" collapsed="false">
      <c r="A16" s="3" t="n">
        <v>10</v>
      </c>
      <c r="B16" s="4" t="s">
        <v>39</v>
      </c>
      <c r="C16" s="4" t="s">
        <v>40</v>
      </c>
      <c r="D16" s="4" t="s">
        <v>41</v>
      </c>
      <c r="E16" s="4" t="s">
        <v>42</v>
      </c>
      <c r="F16" s="5"/>
      <c r="G16" s="6"/>
    </row>
    <row r="17" customFormat="false" ht="46.25" hidden="false" customHeight="false" outlineLevel="0" collapsed="false">
      <c r="A17" s="3" t="n">
        <v>11</v>
      </c>
      <c r="B17" s="4" t="s">
        <v>39</v>
      </c>
      <c r="C17" s="4" t="s">
        <v>43</v>
      </c>
      <c r="D17" s="4" t="s">
        <v>44</v>
      </c>
      <c r="E17" s="4" t="s">
        <v>45</v>
      </c>
      <c r="F17" s="5"/>
      <c r="G17" s="6"/>
    </row>
    <row r="18" customFormat="false" ht="46.25" hidden="false" customHeight="false" outlineLevel="0" collapsed="false">
      <c r="A18" s="3" t="n">
        <v>12</v>
      </c>
      <c r="B18" s="4" t="s">
        <v>39</v>
      </c>
      <c r="C18" s="4" t="s">
        <v>46</v>
      </c>
      <c r="D18" s="4" t="s">
        <v>47</v>
      </c>
      <c r="E18" s="4" t="s">
        <v>48</v>
      </c>
      <c r="F18" s="5"/>
      <c r="G18" s="6"/>
    </row>
    <row r="19" customFormat="false" ht="57.45" hidden="false" customHeight="false" outlineLevel="0" collapsed="false">
      <c r="A19" s="3" t="n">
        <v>13</v>
      </c>
      <c r="B19" s="4" t="s">
        <v>39</v>
      </c>
      <c r="C19" s="4" t="s">
        <v>49</v>
      </c>
      <c r="D19" s="4" t="s">
        <v>50</v>
      </c>
      <c r="E19" s="4" t="s">
        <v>51</v>
      </c>
      <c r="F19" s="5"/>
      <c r="G19" s="6"/>
    </row>
    <row r="20" customFormat="false" ht="35.05" hidden="false" customHeight="false" outlineLevel="0" collapsed="false">
      <c r="A20" s="3" t="n">
        <v>14</v>
      </c>
      <c r="B20" s="4" t="s">
        <v>39</v>
      </c>
      <c r="C20" s="4" t="s">
        <v>52</v>
      </c>
      <c r="D20" s="4" t="s">
        <v>53</v>
      </c>
      <c r="E20" s="4" t="s">
        <v>54</v>
      </c>
      <c r="F20" s="5"/>
      <c r="G20" s="6"/>
    </row>
    <row r="21" customFormat="false" ht="46.25" hidden="false" customHeight="false" outlineLevel="0" collapsed="false">
      <c r="A21" s="3" t="n">
        <v>15</v>
      </c>
      <c r="B21" s="4" t="s">
        <v>39</v>
      </c>
      <c r="C21" s="4" t="s">
        <v>55</v>
      </c>
      <c r="D21" s="4" t="s">
        <v>56</v>
      </c>
      <c r="E21" s="4" t="s">
        <v>57</v>
      </c>
      <c r="F21" s="5"/>
      <c r="G21" s="6"/>
    </row>
    <row r="22" customFormat="false" ht="46.25" hidden="false" customHeight="false" outlineLevel="0" collapsed="false">
      <c r="A22" s="3" t="n">
        <v>16</v>
      </c>
      <c r="B22" s="4" t="s">
        <v>39</v>
      </c>
      <c r="C22" s="4" t="s">
        <v>58</v>
      </c>
      <c r="D22" s="4" t="s">
        <v>59</v>
      </c>
      <c r="E22" s="4" t="s">
        <v>60</v>
      </c>
      <c r="F22" s="5"/>
      <c r="G22" s="6"/>
    </row>
    <row r="23" customFormat="false" ht="57.45" hidden="false" customHeight="false" outlineLevel="0" collapsed="false">
      <c r="A23" s="3" t="n">
        <v>17</v>
      </c>
      <c r="B23" s="4" t="s">
        <v>39</v>
      </c>
      <c r="C23" s="4" t="s">
        <v>61</v>
      </c>
      <c r="D23" s="4" t="s">
        <v>62</v>
      </c>
      <c r="E23" s="4" t="s">
        <v>63</v>
      </c>
      <c r="F23" s="5"/>
      <c r="G23" s="6"/>
    </row>
    <row r="24" customFormat="false" ht="57.45" hidden="false" customHeight="false" outlineLevel="0" collapsed="false">
      <c r="A24" s="3" t="n">
        <v>18</v>
      </c>
      <c r="B24" s="4" t="s">
        <v>39</v>
      </c>
      <c r="C24" s="4" t="s">
        <v>64</v>
      </c>
      <c r="D24" s="4" t="s">
        <v>65</v>
      </c>
      <c r="E24" s="4" t="s">
        <v>66</v>
      </c>
      <c r="F24" s="5"/>
      <c r="G24" s="6"/>
    </row>
    <row r="26" customFormat="false" ht="15" hidden="false" customHeight="false" outlineLevel="0" collapsed="false">
      <c r="A26" s="2" t="s">
        <v>67</v>
      </c>
      <c r="B26" s="2"/>
      <c r="C26" s="2"/>
      <c r="D26" s="2"/>
      <c r="E26" s="2"/>
      <c r="F26" s="2"/>
      <c r="G26" s="2"/>
    </row>
    <row r="27" customFormat="false" ht="57.45" hidden="false" customHeight="false" outlineLevel="0" collapsed="false">
      <c r="A27" s="3" t="n">
        <v>19</v>
      </c>
      <c r="B27" s="4" t="s">
        <v>68</v>
      </c>
      <c r="C27" s="4" t="s">
        <v>69</v>
      </c>
      <c r="D27" s="4" t="s">
        <v>70</v>
      </c>
      <c r="E27" s="4" t="s">
        <v>71</v>
      </c>
      <c r="F27" s="5"/>
      <c r="G27" s="6"/>
    </row>
    <row r="28" customFormat="false" ht="46.25" hidden="false" customHeight="false" outlineLevel="0" collapsed="false">
      <c r="A28" s="3" t="n">
        <v>20</v>
      </c>
      <c r="B28" s="4" t="s">
        <v>68</v>
      </c>
      <c r="C28" s="4" t="s">
        <v>72</v>
      </c>
      <c r="D28" s="4" t="s">
        <v>73</v>
      </c>
      <c r="E28" s="4" t="s">
        <v>74</v>
      </c>
      <c r="F28" s="5"/>
      <c r="G28" s="6"/>
    </row>
    <row r="29" customFormat="false" ht="46.25" hidden="false" customHeight="false" outlineLevel="0" collapsed="false">
      <c r="A29" s="3" t="n">
        <v>21</v>
      </c>
      <c r="B29" s="4" t="s">
        <v>68</v>
      </c>
      <c r="C29" s="4" t="s">
        <v>75</v>
      </c>
      <c r="D29" s="4" t="s">
        <v>76</v>
      </c>
      <c r="E29" s="4" t="s">
        <v>77</v>
      </c>
      <c r="F29" s="5"/>
      <c r="G29" s="6"/>
    </row>
    <row r="30" customFormat="false" ht="35.05" hidden="false" customHeight="false" outlineLevel="0" collapsed="false">
      <c r="A30" s="3" t="n">
        <v>22</v>
      </c>
      <c r="B30" s="4" t="s">
        <v>68</v>
      </c>
      <c r="C30" s="4" t="s">
        <v>78</v>
      </c>
      <c r="D30" s="4" t="s">
        <v>79</v>
      </c>
      <c r="E30" s="4" t="s">
        <v>80</v>
      </c>
      <c r="F30" s="5"/>
      <c r="G30" s="6"/>
    </row>
    <row r="31" customFormat="false" ht="46.25" hidden="false" customHeight="false" outlineLevel="0" collapsed="false">
      <c r="A31" s="3" t="n">
        <v>23</v>
      </c>
      <c r="B31" s="4" t="s">
        <v>68</v>
      </c>
      <c r="C31" s="4" t="s">
        <v>81</v>
      </c>
      <c r="D31" s="4" t="s">
        <v>82</v>
      </c>
      <c r="E31" s="4" t="s">
        <v>83</v>
      </c>
      <c r="F31" s="5"/>
      <c r="G31" s="6"/>
    </row>
    <row r="32" customFormat="false" ht="57.45" hidden="false" customHeight="false" outlineLevel="0" collapsed="false">
      <c r="A32" s="3" t="n">
        <v>24</v>
      </c>
      <c r="B32" s="4" t="s">
        <v>68</v>
      </c>
      <c r="C32" s="4" t="s">
        <v>84</v>
      </c>
      <c r="D32" s="4" t="s">
        <v>85</v>
      </c>
      <c r="E32" s="4" t="s">
        <v>86</v>
      </c>
      <c r="F32" s="5"/>
      <c r="G32" s="6"/>
    </row>
    <row r="34" customFormat="false" ht="15" hidden="false" customHeight="false" outlineLevel="0" collapsed="false">
      <c r="A34" s="2" t="s">
        <v>87</v>
      </c>
      <c r="B34" s="2"/>
      <c r="C34" s="2"/>
      <c r="D34" s="2"/>
      <c r="E34" s="2"/>
      <c r="F34" s="2"/>
      <c r="G34" s="2"/>
    </row>
    <row r="35" customFormat="false" ht="68.65" hidden="false" customHeight="false" outlineLevel="0" collapsed="false">
      <c r="A35" s="3" t="n">
        <v>25</v>
      </c>
      <c r="B35" s="4" t="s">
        <v>88</v>
      </c>
      <c r="C35" s="4" t="s">
        <v>89</v>
      </c>
      <c r="D35" s="4" t="s">
        <v>90</v>
      </c>
      <c r="E35" s="4" t="s">
        <v>91</v>
      </c>
      <c r="F35" s="5"/>
      <c r="G35" s="6"/>
    </row>
    <row r="36" customFormat="false" ht="46.25" hidden="false" customHeight="false" outlineLevel="0" collapsed="false">
      <c r="A36" s="3" t="n">
        <v>26</v>
      </c>
      <c r="B36" s="4" t="s">
        <v>88</v>
      </c>
      <c r="C36" s="4" t="s">
        <v>92</v>
      </c>
      <c r="D36" s="4" t="s">
        <v>93</v>
      </c>
      <c r="E36" s="4" t="s">
        <v>94</v>
      </c>
      <c r="F36" s="5"/>
      <c r="G36" s="6"/>
    </row>
    <row r="37" customFormat="false" ht="46.25" hidden="false" customHeight="false" outlineLevel="0" collapsed="false">
      <c r="A37" s="3" t="n">
        <v>27</v>
      </c>
      <c r="B37" s="4" t="s">
        <v>88</v>
      </c>
      <c r="C37" s="4" t="s">
        <v>95</v>
      </c>
      <c r="D37" s="4" t="s">
        <v>96</v>
      </c>
      <c r="E37" s="4" t="s">
        <v>97</v>
      </c>
      <c r="F37" s="5"/>
      <c r="G37" s="6"/>
    </row>
    <row r="39" customFormat="false" ht="15" hidden="false" customHeight="false" outlineLevel="0" collapsed="false">
      <c r="A39" s="2" t="s">
        <v>98</v>
      </c>
      <c r="B39" s="2"/>
      <c r="C39" s="2"/>
      <c r="D39" s="2"/>
      <c r="E39" s="2"/>
      <c r="F39" s="2"/>
      <c r="G39" s="2"/>
    </row>
    <row r="40" customFormat="false" ht="57.45" hidden="false" customHeight="false" outlineLevel="0" collapsed="false">
      <c r="A40" s="3" t="n">
        <v>28</v>
      </c>
      <c r="B40" s="4" t="s">
        <v>99</v>
      </c>
      <c r="C40" s="4" t="s">
        <v>100</v>
      </c>
      <c r="D40" s="4" t="s">
        <v>101</v>
      </c>
      <c r="E40" s="4" t="s">
        <v>102</v>
      </c>
      <c r="F40" s="5"/>
      <c r="G40" s="6"/>
    </row>
    <row r="41" customFormat="false" ht="57.45" hidden="false" customHeight="false" outlineLevel="0" collapsed="false">
      <c r="A41" s="3" t="n">
        <v>29</v>
      </c>
      <c r="B41" s="4" t="s">
        <v>99</v>
      </c>
      <c r="C41" s="4" t="s">
        <v>103</v>
      </c>
      <c r="D41" s="4" t="s">
        <v>104</v>
      </c>
      <c r="E41" s="4" t="s">
        <v>105</v>
      </c>
      <c r="F41" s="5"/>
      <c r="G41" s="6"/>
    </row>
    <row r="42" customFormat="false" ht="57.45" hidden="false" customHeight="false" outlineLevel="0" collapsed="false">
      <c r="A42" s="3" t="n">
        <v>30</v>
      </c>
      <c r="B42" s="4" t="s">
        <v>99</v>
      </c>
      <c r="C42" s="4" t="s">
        <v>106</v>
      </c>
      <c r="D42" s="4" t="s">
        <v>107</v>
      </c>
      <c r="E42" s="4" t="s">
        <v>108</v>
      </c>
      <c r="F42" s="5"/>
      <c r="G42" s="6"/>
    </row>
    <row r="43" customFormat="false" ht="46.25" hidden="false" customHeight="false" outlineLevel="0" collapsed="false">
      <c r="A43" s="3" t="n">
        <v>31</v>
      </c>
      <c r="B43" s="4" t="s">
        <v>99</v>
      </c>
      <c r="C43" s="4" t="s">
        <v>109</v>
      </c>
      <c r="D43" s="4" t="s">
        <v>110</v>
      </c>
      <c r="E43" s="4" t="s">
        <v>111</v>
      </c>
      <c r="F43" s="5"/>
      <c r="G43" s="6"/>
    </row>
    <row r="44" customFormat="false" ht="46.25" hidden="false" customHeight="false" outlineLevel="0" collapsed="false">
      <c r="A44" s="3" t="n">
        <v>32</v>
      </c>
      <c r="B44" s="4" t="s">
        <v>99</v>
      </c>
      <c r="C44" s="4" t="s">
        <v>112</v>
      </c>
      <c r="D44" s="4" t="s">
        <v>113</v>
      </c>
      <c r="E44" s="4" t="s">
        <v>114</v>
      </c>
      <c r="F44" s="5"/>
      <c r="G44" s="6"/>
    </row>
    <row r="46" customFormat="false" ht="15" hidden="false" customHeight="false" outlineLevel="0" collapsed="false">
      <c r="A46" s="2" t="s">
        <v>115</v>
      </c>
      <c r="B46" s="2"/>
      <c r="C46" s="2"/>
      <c r="D46" s="2"/>
      <c r="E46" s="2"/>
      <c r="F46" s="2"/>
      <c r="G46" s="2"/>
    </row>
    <row r="47" customFormat="false" ht="57.45" hidden="false" customHeight="false" outlineLevel="0" collapsed="false">
      <c r="A47" s="3" t="n">
        <v>33</v>
      </c>
      <c r="B47" s="4" t="s">
        <v>116</v>
      </c>
      <c r="C47" s="4" t="s">
        <v>117</v>
      </c>
      <c r="D47" s="4" t="s">
        <v>118</v>
      </c>
      <c r="E47" s="4" t="s">
        <v>119</v>
      </c>
      <c r="F47" s="5"/>
      <c r="G47" s="6"/>
    </row>
    <row r="48" customFormat="false" ht="35.05" hidden="false" customHeight="false" outlineLevel="0" collapsed="false">
      <c r="A48" s="3" t="n">
        <v>34</v>
      </c>
      <c r="B48" s="4" t="s">
        <v>116</v>
      </c>
      <c r="C48" s="4" t="s">
        <v>120</v>
      </c>
      <c r="D48" s="4" t="s">
        <v>121</v>
      </c>
      <c r="E48" s="4" t="s">
        <v>122</v>
      </c>
      <c r="F48" s="5"/>
      <c r="G48" s="6"/>
    </row>
    <row r="49" customFormat="false" ht="46.25" hidden="false" customHeight="false" outlineLevel="0" collapsed="false">
      <c r="A49" s="3" t="n">
        <v>35</v>
      </c>
      <c r="B49" s="4" t="s">
        <v>116</v>
      </c>
      <c r="C49" s="4" t="s">
        <v>123</v>
      </c>
      <c r="D49" s="4" t="s">
        <v>124</v>
      </c>
      <c r="E49" s="4" t="s">
        <v>125</v>
      </c>
      <c r="F49" s="5"/>
      <c r="G49" s="6"/>
    </row>
    <row r="51" customFormat="false" ht="15" hidden="false" customHeight="false" outlineLevel="0" collapsed="false">
      <c r="A51" s="2" t="s">
        <v>126</v>
      </c>
      <c r="B51" s="2"/>
      <c r="C51" s="2"/>
      <c r="D51" s="2"/>
      <c r="E51" s="2"/>
      <c r="F51" s="2"/>
      <c r="G51" s="2"/>
    </row>
    <row r="52" customFormat="false" ht="57.45" hidden="false" customHeight="false" outlineLevel="0" collapsed="false">
      <c r="A52" s="3" t="n">
        <v>36</v>
      </c>
      <c r="B52" s="4" t="s">
        <v>127</v>
      </c>
      <c r="C52" s="4" t="s">
        <v>128</v>
      </c>
      <c r="D52" s="4" t="s">
        <v>129</v>
      </c>
      <c r="E52" s="4" t="s">
        <v>130</v>
      </c>
      <c r="F52" s="5"/>
      <c r="G52" s="6"/>
    </row>
    <row r="53" customFormat="false" ht="46.25" hidden="false" customHeight="false" outlineLevel="0" collapsed="false">
      <c r="A53" s="3" t="n">
        <v>37</v>
      </c>
      <c r="B53" s="4" t="s">
        <v>127</v>
      </c>
      <c r="C53" s="4" t="s">
        <v>131</v>
      </c>
      <c r="D53" s="4" t="s">
        <v>132</v>
      </c>
      <c r="E53" s="4" t="s">
        <v>133</v>
      </c>
      <c r="F53" s="5"/>
      <c r="G53" s="6"/>
    </row>
    <row r="54" customFormat="false" ht="46.25" hidden="false" customHeight="false" outlineLevel="0" collapsed="false">
      <c r="A54" s="3" t="n">
        <v>38</v>
      </c>
      <c r="B54" s="4" t="s">
        <v>127</v>
      </c>
      <c r="C54" s="4" t="s">
        <v>134</v>
      </c>
      <c r="D54" s="4" t="s">
        <v>135</v>
      </c>
      <c r="E54" s="4" t="s">
        <v>136</v>
      </c>
      <c r="F54" s="5"/>
      <c r="G54" s="6"/>
    </row>
    <row r="55" customFormat="false" ht="57.45" hidden="false" customHeight="false" outlineLevel="0" collapsed="false">
      <c r="A55" s="3" t="n">
        <v>39</v>
      </c>
      <c r="B55" s="4" t="s">
        <v>127</v>
      </c>
      <c r="C55" s="4" t="s">
        <v>137</v>
      </c>
      <c r="D55" s="4" t="s">
        <v>138</v>
      </c>
      <c r="E55" s="4" t="s">
        <v>139</v>
      </c>
      <c r="F55" s="5"/>
      <c r="G55" s="6"/>
    </row>
    <row r="56" customFormat="false" ht="46.25" hidden="false" customHeight="false" outlineLevel="0" collapsed="false">
      <c r="A56" s="3" t="n">
        <v>40</v>
      </c>
      <c r="B56" s="4" t="s">
        <v>127</v>
      </c>
      <c r="C56" s="4" t="s">
        <v>140</v>
      </c>
      <c r="D56" s="4" t="s">
        <v>141</v>
      </c>
      <c r="E56" s="4" t="s">
        <v>142</v>
      </c>
      <c r="F56" s="5"/>
      <c r="G56" s="6"/>
    </row>
    <row r="58" customFormat="false" ht="15" hidden="false" customHeight="false" outlineLevel="0" collapsed="false">
      <c r="A58" s="2" t="s">
        <v>143</v>
      </c>
      <c r="B58" s="2"/>
      <c r="C58" s="2"/>
      <c r="D58" s="2"/>
      <c r="E58" s="2"/>
      <c r="F58" s="2"/>
      <c r="G58" s="2"/>
    </row>
    <row r="59" customFormat="false" ht="57.45" hidden="false" customHeight="false" outlineLevel="0" collapsed="false">
      <c r="A59" s="3" t="n">
        <v>41</v>
      </c>
      <c r="B59" s="4" t="s">
        <v>144</v>
      </c>
      <c r="C59" s="4" t="s">
        <v>145</v>
      </c>
      <c r="D59" s="4" t="s">
        <v>146</v>
      </c>
      <c r="E59" s="4" t="s">
        <v>147</v>
      </c>
      <c r="F59" s="5"/>
      <c r="G59" s="6"/>
    </row>
    <row r="60" customFormat="false" ht="57.45" hidden="false" customHeight="false" outlineLevel="0" collapsed="false">
      <c r="A60" s="3" t="n">
        <v>42</v>
      </c>
      <c r="B60" s="4" t="s">
        <v>144</v>
      </c>
      <c r="C60" s="4" t="s">
        <v>148</v>
      </c>
      <c r="D60" s="4" t="s">
        <v>149</v>
      </c>
      <c r="E60" s="4" t="s">
        <v>150</v>
      </c>
      <c r="F60" s="5"/>
      <c r="G60" s="6"/>
    </row>
    <row r="61" customFormat="false" ht="57.45" hidden="false" customHeight="false" outlineLevel="0" collapsed="false">
      <c r="A61" s="3" t="n">
        <v>43</v>
      </c>
      <c r="B61" s="4" t="s">
        <v>144</v>
      </c>
      <c r="C61" s="4" t="s">
        <v>151</v>
      </c>
      <c r="D61" s="4" t="s">
        <v>152</v>
      </c>
      <c r="E61" s="4" t="s">
        <v>153</v>
      </c>
      <c r="F61" s="5"/>
      <c r="G61" s="6"/>
    </row>
    <row r="63" customFormat="false" ht="15" hidden="false" customHeight="false" outlineLevel="0" collapsed="false">
      <c r="A63" s="2" t="s">
        <v>154</v>
      </c>
      <c r="B63" s="2"/>
      <c r="C63" s="2"/>
      <c r="D63" s="2"/>
      <c r="E63" s="2"/>
      <c r="F63" s="2"/>
      <c r="G63" s="2"/>
    </row>
    <row r="64" customFormat="false" ht="46.25" hidden="false" customHeight="false" outlineLevel="0" collapsed="false">
      <c r="A64" s="3" t="n">
        <v>44</v>
      </c>
      <c r="B64" s="4" t="s">
        <v>155</v>
      </c>
      <c r="C64" s="4" t="s">
        <v>156</v>
      </c>
      <c r="D64" s="4" t="s">
        <v>157</v>
      </c>
      <c r="E64" s="4" t="s">
        <v>158</v>
      </c>
      <c r="F64" s="5"/>
      <c r="G64" s="6"/>
    </row>
    <row r="65" customFormat="false" ht="35.05" hidden="false" customHeight="false" outlineLevel="0" collapsed="false">
      <c r="A65" s="3" t="n">
        <v>45</v>
      </c>
      <c r="B65" s="4" t="s">
        <v>155</v>
      </c>
      <c r="C65" s="4" t="s">
        <v>159</v>
      </c>
      <c r="D65" s="4" t="s">
        <v>160</v>
      </c>
      <c r="E65" s="4" t="s">
        <v>161</v>
      </c>
      <c r="F65" s="5"/>
      <c r="G65" s="6"/>
    </row>
    <row r="66" customFormat="false" ht="35.05" hidden="false" customHeight="false" outlineLevel="0" collapsed="false">
      <c r="A66" s="3" t="n">
        <v>46</v>
      </c>
      <c r="B66" s="4" t="s">
        <v>155</v>
      </c>
      <c r="C66" s="4" t="s">
        <v>162</v>
      </c>
      <c r="D66" s="4" t="s">
        <v>163</v>
      </c>
      <c r="E66" s="4" t="s">
        <v>164</v>
      </c>
      <c r="F66" s="5"/>
      <c r="G66" s="6"/>
    </row>
    <row r="67" customFormat="false" ht="23.85" hidden="false" customHeight="false" outlineLevel="0" collapsed="false">
      <c r="A67" s="3" t="n">
        <v>47</v>
      </c>
      <c r="B67" s="4" t="s">
        <v>155</v>
      </c>
      <c r="C67" s="4" t="s">
        <v>165</v>
      </c>
      <c r="D67" s="4" t="s">
        <v>166</v>
      </c>
      <c r="E67" s="4" t="s">
        <v>167</v>
      </c>
      <c r="F67" s="5"/>
      <c r="G67" s="6"/>
    </row>
    <row r="69" customFormat="false" ht="15" hidden="false" customHeight="false" outlineLevel="0" collapsed="false">
      <c r="A69" s="2" t="s">
        <v>168</v>
      </c>
      <c r="B69" s="2"/>
      <c r="C69" s="2"/>
      <c r="D69" s="2"/>
      <c r="E69" s="2"/>
      <c r="F69" s="2"/>
      <c r="G69" s="2"/>
    </row>
    <row r="70" customFormat="false" ht="46.25" hidden="false" customHeight="false" outlineLevel="0" collapsed="false">
      <c r="A70" s="3" t="n">
        <v>48</v>
      </c>
      <c r="B70" s="4" t="s">
        <v>169</v>
      </c>
      <c r="C70" s="4" t="s">
        <v>170</v>
      </c>
      <c r="D70" s="4" t="s">
        <v>171</v>
      </c>
      <c r="E70" s="4" t="s">
        <v>172</v>
      </c>
      <c r="F70" s="5"/>
      <c r="G70" s="6"/>
    </row>
    <row r="71" customFormat="false" ht="46.25" hidden="false" customHeight="false" outlineLevel="0" collapsed="false">
      <c r="A71" s="3" t="n">
        <v>49</v>
      </c>
      <c r="B71" s="4" t="s">
        <v>169</v>
      </c>
      <c r="C71" s="4" t="s">
        <v>173</v>
      </c>
      <c r="D71" s="4" t="s">
        <v>174</v>
      </c>
      <c r="E71" s="4" t="s">
        <v>175</v>
      </c>
      <c r="F71" s="5"/>
      <c r="G71" s="6"/>
    </row>
    <row r="73" customFormat="false" ht="15" hidden="false" customHeight="false" outlineLevel="0" collapsed="false">
      <c r="A73" s="2" t="s">
        <v>176</v>
      </c>
      <c r="B73" s="2"/>
      <c r="C73" s="2"/>
      <c r="D73" s="2"/>
      <c r="E73" s="2"/>
      <c r="F73" s="2"/>
      <c r="G73" s="2"/>
    </row>
    <row r="74" customFormat="false" ht="35.05" hidden="false" customHeight="false" outlineLevel="0" collapsed="false">
      <c r="A74" s="3" t="n">
        <v>50</v>
      </c>
      <c r="B74" s="4" t="s">
        <v>177</v>
      </c>
      <c r="C74" s="4" t="s">
        <v>178</v>
      </c>
      <c r="D74" s="4"/>
      <c r="E74" s="4" t="s">
        <v>179</v>
      </c>
      <c r="F74" s="5"/>
      <c r="G74" s="6"/>
    </row>
    <row r="75" customFormat="false" ht="191.75" hidden="false" customHeight="false" outlineLevel="0" collapsed="false">
      <c r="A75" s="3" t="n">
        <v>51</v>
      </c>
      <c r="B75" s="4" t="s">
        <v>177</v>
      </c>
      <c r="C75" s="4" t="s">
        <v>180</v>
      </c>
      <c r="D75" s="4" t="s">
        <v>181</v>
      </c>
      <c r="E75" s="4" t="s">
        <v>182</v>
      </c>
      <c r="F75" s="5"/>
      <c r="G75" s="6"/>
    </row>
    <row r="76" customFormat="false" ht="46.25" hidden="false" customHeight="false" outlineLevel="0" collapsed="false">
      <c r="A76" s="3" t="n">
        <v>52</v>
      </c>
      <c r="B76" s="4" t="s">
        <v>177</v>
      </c>
      <c r="C76" s="4" t="s">
        <v>183</v>
      </c>
      <c r="D76" s="4" t="s">
        <v>184</v>
      </c>
      <c r="E76" s="4" t="s">
        <v>185</v>
      </c>
      <c r="F76" s="5"/>
      <c r="G76" s="6"/>
    </row>
    <row r="77" customFormat="false" ht="46.25" hidden="false" customHeight="false" outlineLevel="0" collapsed="false">
      <c r="A77" s="3" t="n">
        <v>53</v>
      </c>
      <c r="B77" s="4" t="s">
        <v>177</v>
      </c>
      <c r="C77" s="4" t="s">
        <v>186</v>
      </c>
      <c r="D77" s="4" t="s">
        <v>187</v>
      </c>
      <c r="E77" s="4" t="s">
        <v>188</v>
      </c>
      <c r="F77" s="5"/>
      <c r="G77" s="6"/>
    </row>
    <row r="78" customFormat="false" ht="46.25" hidden="false" customHeight="false" outlineLevel="0" collapsed="false">
      <c r="A78" s="3" t="n">
        <v>54</v>
      </c>
      <c r="B78" s="4" t="s">
        <v>177</v>
      </c>
      <c r="C78" s="4" t="s">
        <v>189</v>
      </c>
      <c r="D78" s="4" t="s">
        <v>190</v>
      </c>
      <c r="E78" s="4" t="s">
        <v>191</v>
      </c>
      <c r="F78" s="5"/>
      <c r="G78" s="6"/>
    </row>
    <row r="79" customFormat="false" ht="46.25" hidden="false" customHeight="false" outlineLevel="0" collapsed="false">
      <c r="A79" s="3" t="n">
        <v>55</v>
      </c>
      <c r="B79" s="4" t="s">
        <v>177</v>
      </c>
      <c r="C79" s="4" t="s">
        <v>192</v>
      </c>
      <c r="D79" s="4" t="s">
        <v>193</v>
      </c>
      <c r="E79" s="4" t="s">
        <v>194</v>
      </c>
      <c r="F79" s="5"/>
      <c r="G79" s="6"/>
    </row>
    <row r="81" customFormat="false" ht="15" hidden="false" customHeight="false" outlineLevel="0" collapsed="false">
      <c r="A81" s="2" t="s">
        <v>195</v>
      </c>
      <c r="B81" s="2"/>
      <c r="C81" s="2"/>
      <c r="D81" s="2"/>
      <c r="E81" s="2"/>
      <c r="F81" s="2"/>
      <c r="G81" s="2"/>
    </row>
    <row r="82" customFormat="false" ht="46.25" hidden="false" customHeight="false" outlineLevel="0" collapsed="false">
      <c r="A82" s="3" t="n">
        <v>56</v>
      </c>
      <c r="B82" s="4" t="s">
        <v>196</v>
      </c>
      <c r="C82" s="4" t="s">
        <v>197</v>
      </c>
      <c r="D82" s="4" t="s">
        <v>198</v>
      </c>
      <c r="E82" s="4" t="s">
        <v>199</v>
      </c>
      <c r="F82" s="5"/>
      <c r="G82" s="6"/>
    </row>
    <row r="83" customFormat="false" ht="46.25" hidden="false" customHeight="false" outlineLevel="0" collapsed="false">
      <c r="A83" s="3" t="n">
        <v>57</v>
      </c>
      <c r="B83" s="4" t="s">
        <v>196</v>
      </c>
      <c r="C83" s="4" t="s">
        <v>200</v>
      </c>
      <c r="D83" s="4" t="s">
        <v>201</v>
      </c>
      <c r="E83" s="4" t="s">
        <v>202</v>
      </c>
      <c r="F83" s="5"/>
      <c r="G83" s="6"/>
    </row>
    <row r="84" customFormat="false" ht="57.45" hidden="false" customHeight="false" outlineLevel="0" collapsed="false">
      <c r="A84" s="3" t="n">
        <v>58</v>
      </c>
      <c r="B84" s="4" t="s">
        <v>196</v>
      </c>
      <c r="C84" s="4" t="s">
        <v>203</v>
      </c>
      <c r="D84" s="4" t="s">
        <v>204</v>
      </c>
      <c r="E84" s="4" t="s">
        <v>205</v>
      </c>
      <c r="F84" s="5"/>
      <c r="G84" s="6"/>
    </row>
    <row r="85" customFormat="false" ht="35.05" hidden="false" customHeight="false" outlineLevel="0" collapsed="false">
      <c r="A85" s="3" t="n">
        <v>59</v>
      </c>
      <c r="B85" s="4" t="s">
        <v>196</v>
      </c>
      <c r="C85" s="4" t="s">
        <v>206</v>
      </c>
      <c r="D85" s="4" t="s">
        <v>207</v>
      </c>
      <c r="E85" s="4" t="s">
        <v>208</v>
      </c>
      <c r="F85" s="5"/>
      <c r="G85" s="6"/>
    </row>
    <row r="86" customFormat="false" ht="46.25" hidden="false" customHeight="false" outlineLevel="0" collapsed="false">
      <c r="A86" s="3" t="n">
        <v>60</v>
      </c>
      <c r="B86" s="4" t="s">
        <v>196</v>
      </c>
      <c r="C86" s="4" t="s">
        <v>209</v>
      </c>
      <c r="D86" s="4" t="s">
        <v>210</v>
      </c>
      <c r="E86" s="4" t="s">
        <v>211</v>
      </c>
      <c r="F86" s="5"/>
      <c r="G86" s="6"/>
    </row>
    <row r="88" customFormat="false" ht="15" hidden="false" customHeight="false" outlineLevel="0" collapsed="false">
      <c r="A88" s="2" t="s">
        <v>212</v>
      </c>
      <c r="B88" s="2"/>
      <c r="C88" s="2"/>
      <c r="D88" s="2"/>
      <c r="E88" s="2"/>
      <c r="F88" s="2"/>
      <c r="G88" s="2"/>
    </row>
    <row r="89" customFormat="false" ht="46.25" hidden="false" customHeight="false" outlineLevel="0" collapsed="false">
      <c r="A89" s="3" t="n">
        <v>61</v>
      </c>
      <c r="B89" s="4" t="s">
        <v>213</v>
      </c>
      <c r="C89" s="4" t="s">
        <v>214</v>
      </c>
      <c r="D89" s="4" t="s">
        <v>215</v>
      </c>
      <c r="E89" s="4" t="s">
        <v>216</v>
      </c>
      <c r="F89" s="5"/>
      <c r="G89" s="6"/>
    </row>
    <row r="90" customFormat="false" ht="46.25" hidden="false" customHeight="false" outlineLevel="0" collapsed="false">
      <c r="A90" s="3" t="n">
        <v>62</v>
      </c>
      <c r="B90" s="4" t="s">
        <v>213</v>
      </c>
      <c r="C90" s="4" t="s">
        <v>217</v>
      </c>
      <c r="D90" s="4" t="s">
        <v>218</v>
      </c>
      <c r="E90" s="4" t="s">
        <v>219</v>
      </c>
      <c r="F90" s="5"/>
      <c r="G90" s="6"/>
    </row>
    <row r="91" customFormat="false" ht="57.45" hidden="false" customHeight="false" outlineLevel="0" collapsed="false">
      <c r="A91" s="3" t="n">
        <v>63</v>
      </c>
      <c r="B91" s="4" t="s">
        <v>213</v>
      </c>
      <c r="C91" s="4" t="s">
        <v>220</v>
      </c>
      <c r="D91" s="4" t="s">
        <v>221</v>
      </c>
      <c r="E91" s="4" t="s">
        <v>222</v>
      </c>
      <c r="F91" s="5"/>
      <c r="G91" s="6"/>
    </row>
    <row r="93" customFormat="false" ht="15" hidden="false" customHeight="false" outlineLevel="0" collapsed="false">
      <c r="A93" s="2" t="s">
        <v>223</v>
      </c>
      <c r="B93" s="2"/>
      <c r="C93" s="2"/>
      <c r="D93" s="2"/>
      <c r="E93" s="2"/>
      <c r="F93" s="2"/>
      <c r="G93" s="2"/>
    </row>
    <row r="94" customFormat="false" ht="57.45" hidden="false" customHeight="false" outlineLevel="0" collapsed="false">
      <c r="A94" s="3" t="n">
        <v>64</v>
      </c>
      <c r="B94" s="4" t="s">
        <v>224</v>
      </c>
      <c r="C94" s="4" t="s">
        <v>225</v>
      </c>
      <c r="D94" s="4" t="s">
        <v>226</v>
      </c>
      <c r="E94" s="4" t="s">
        <v>227</v>
      </c>
      <c r="F94" s="5"/>
      <c r="G94" s="6"/>
    </row>
    <row r="95" customFormat="false" ht="46.25" hidden="false" customHeight="false" outlineLevel="0" collapsed="false">
      <c r="A95" s="3" t="n">
        <v>65</v>
      </c>
      <c r="B95" s="4" t="s">
        <v>224</v>
      </c>
      <c r="C95" s="4" t="s">
        <v>228</v>
      </c>
      <c r="D95" s="4" t="s">
        <v>229</v>
      </c>
      <c r="E95" s="4" t="s">
        <v>230</v>
      </c>
      <c r="F95" s="5"/>
      <c r="G95" s="6"/>
    </row>
  </sheetData>
  <autoFilter ref="A1:G1"/>
  <mergeCells count="15">
    <mergeCell ref="A2:G2"/>
    <mergeCell ref="A9:G9"/>
    <mergeCell ref="A15:G15"/>
    <mergeCell ref="A26:G26"/>
    <mergeCell ref="A34:G34"/>
    <mergeCell ref="A39:G39"/>
    <mergeCell ref="A46:G46"/>
    <mergeCell ref="A51:G51"/>
    <mergeCell ref="A58:G58"/>
    <mergeCell ref="A63:G63"/>
    <mergeCell ref="A69:G69"/>
    <mergeCell ref="A73:G73"/>
    <mergeCell ref="A81:G81"/>
    <mergeCell ref="A88:G88"/>
    <mergeCell ref="A93:G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0"/>
    <col collapsed="false" customWidth="true" hidden="false" outlineLevel="0" max="4" min="4" style="0" width="22"/>
    <col collapsed="false" customWidth="true" hidden="false" outlineLevel="0" max="5" min="5" style="0" width="55"/>
  </cols>
  <sheetData>
    <row r="1" customFormat="false" ht="26.85" hidden="false" customHeight="false" outlineLevel="0" collapsed="false">
      <c r="A1" s="1" t="s">
        <v>1</v>
      </c>
      <c r="B1" s="1" t="s">
        <v>231</v>
      </c>
      <c r="C1" s="1" t="s">
        <v>232</v>
      </c>
      <c r="D1" s="1" t="s">
        <v>233</v>
      </c>
      <c r="E1" s="1" t="s">
        <v>234</v>
      </c>
    </row>
    <row r="2" customFormat="false" ht="23.85" hidden="false" customHeight="false" outlineLevel="0" collapsed="false">
      <c r="A2" s="7" t="s">
        <v>8</v>
      </c>
      <c r="B2" s="8" t="n">
        <v>5</v>
      </c>
      <c r="C2" s="9" t="s">
        <v>235</v>
      </c>
      <c r="D2" s="9" t="s">
        <v>235</v>
      </c>
      <c r="E2" s="4" t="s">
        <v>236</v>
      </c>
    </row>
    <row r="3" customFormat="false" ht="23.85" hidden="false" customHeight="false" outlineLevel="0" collapsed="false">
      <c r="A3" s="7" t="s">
        <v>25</v>
      </c>
      <c r="B3" s="8" t="n">
        <v>4</v>
      </c>
      <c r="C3" s="9" t="s">
        <v>235</v>
      </c>
      <c r="D3" s="9" t="s">
        <v>235</v>
      </c>
      <c r="E3" s="4" t="s">
        <v>237</v>
      </c>
    </row>
    <row r="4" customFormat="false" ht="35.05" hidden="false" customHeight="false" outlineLevel="0" collapsed="false">
      <c r="A4" s="7" t="s">
        <v>39</v>
      </c>
      <c r="B4" s="8" t="n">
        <v>9</v>
      </c>
      <c r="C4" s="9" t="s">
        <v>235</v>
      </c>
      <c r="D4" s="9" t="s">
        <v>235</v>
      </c>
      <c r="E4" s="4" t="s">
        <v>238</v>
      </c>
    </row>
    <row r="5" customFormat="false" ht="35.05" hidden="false" customHeight="false" outlineLevel="0" collapsed="false">
      <c r="A5" s="7" t="s">
        <v>68</v>
      </c>
      <c r="B5" s="8" t="n">
        <v>6</v>
      </c>
      <c r="C5" s="9" t="s">
        <v>235</v>
      </c>
      <c r="D5" s="9" t="s">
        <v>235</v>
      </c>
      <c r="E5" s="4" t="s">
        <v>239</v>
      </c>
    </row>
    <row r="6" customFormat="false" ht="23.85" hidden="false" customHeight="false" outlineLevel="0" collapsed="false">
      <c r="A6" s="7" t="s">
        <v>88</v>
      </c>
      <c r="B6" s="8" t="n">
        <v>3</v>
      </c>
      <c r="C6" s="9" t="s">
        <v>235</v>
      </c>
      <c r="D6" s="9" t="s">
        <v>235</v>
      </c>
      <c r="E6" s="4" t="s">
        <v>240</v>
      </c>
    </row>
    <row r="7" customFormat="false" ht="23.85" hidden="false" customHeight="false" outlineLevel="0" collapsed="false">
      <c r="A7" s="7" t="s">
        <v>99</v>
      </c>
      <c r="B7" s="8" t="n">
        <v>5</v>
      </c>
      <c r="C7" s="9" t="s">
        <v>235</v>
      </c>
      <c r="D7" s="9" t="s">
        <v>235</v>
      </c>
      <c r="E7" s="4" t="s">
        <v>241</v>
      </c>
    </row>
    <row r="8" customFormat="false" ht="35.05" hidden="false" customHeight="false" outlineLevel="0" collapsed="false">
      <c r="A8" s="7" t="s">
        <v>116</v>
      </c>
      <c r="B8" s="8" t="n">
        <v>3</v>
      </c>
      <c r="C8" s="9" t="s">
        <v>235</v>
      </c>
      <c r="D8" s="9" t="s">
        <v>235</v>
      </c>
      <c r="E8" s="4" t="s">
        <v>242</v>
      </c>
    </row>
    <row r="9" customFormat="false" ht="23.85" hidden="false" customHeight="false" outlineLevel="0" collapsed="false">
      <c r="A9" s="7" t="s">
        <v>127</v>
      </c>
      <c r="B9" s="8" t="n">
        <v>5</v>
      </c>
      <c r="C9" s="9" t="s">
        <v>235</v>
      </c>
      <c r="D9" s="9" t="s">
        <v>235</v>
      </c>
      <c r="E9" s="4" t="s">
        <v>243</v>
      </c>
    </row>
    <row r="10" customFormat="false" ht="23.85" hidden="false" customHeight="false" outlineLevel="0" collapsed="false">
      <c r="A10" s="7" t="s">
        <v>144</v>
      </c>
      <c r="B10" s="8" t="n">
        <v>3</v>
      </c>
      <c r="C10" s="9" t="s">
        <v>235</v>
      </c>
      <c r="D10" s="9" t="s">
        <v>235</v>
      </c>
      <c r="E10" s="4" t="s">
        <v>244</v>
      </c>
    </row>
    <row r="11" customFormat="false" ht="23.85" hidden="false" customHeight="false" outlineLevel="0" collapsed="false">
      <c r="A11" s="7" t="s">
        <v>155</v>
      </c>
      <c r="B11" s="8" t="n">
        <v>4</v>
      </c>
      <c r="C11" s="9" t="s">
        <v>235</v>
      </c>
      <c r="D11" s="9" t="s">
        <v>235</v>
      </c>
      <c r="E11" s="4" t="s">
        <v>245</v>
      </c>
    </row>
    <row r="12" customFormat="false" ht="23.85" hidden="false" customHeight="false" outlineLevel="0" collapsed="false">
      <c r="A12" s="7" t="s">
        <v>169</v>
      </c>
      <c r="B12" s="8" t="n">
        <v>2</v>
      </c>
      <c r="C12" s="9" t="s">
        <v>235</v>
      </c>
      <c r="D12" s="9" t="s">
        <v>235</v>
      </c>
      <c r="E12" s="4" t="s">
        <v>246</v>
      </c>
    </row>
    <row r="13" customFormat="false" ht="23.85" hidden="false" customHeight="false" outlineLevel="0" collapsed="false">
      <c r="A13" s="7" t="s">
        <v>177</v>
      </c>
      <c r="B13" s="8" t="n">
        <v>6</v>
      </c>
      <c r="C13" s="9" t="s">
        <v>235</v>
      </c>
      <c r="D13" s="9" t="s">
        <v>235</v>
      </c>
      <c r="E13" s="4" t="s">
        <v>247</v>
      </c>
    </row>
    <row r="14" customFormat="false" ht="35.05" hidden="false" customHeight="false" outlineLevel="0" collapsed="false">
      <c r="A14" s="7" t="s">
        <v>196</v>
      </c>
      <c r="B14" s="8" t="n">
        <v>5</v>
      </c>
      <c r="C14" s="9" t="s">
        <v>235</v>
      </c>
      <c r="D14" s="9" t="s">
        <v>235</v>
      </c>
      <c r="E14" s="4" t="s">
        <v>248</v>
      </c>
    </row>
    <row r="15" customFormat="false" ht="23.85" hidden="false" customHeight="false" outlineLevel="0" collapsed="false">
      <c r="A15" s="7" t="s">
        <v>213</v>
      </c>
      <c r="B15" s="8" t="n">
        <v>3</v>
      </c>
      <c r="C15" s="9" t="s">
        <v>235</v>
      </c>
      <c r="D15" s="9" t="s">
        <v>235</v>
      </c>
      <c r="E15" s="4" t="s">
        <v>249</v>
      </c>
    </row>
    <row r="16" customFormat="false" ht="23.85" hidden="false" customHeight="false" outlineLevel="0" collapsed="false">
      <c r="A16" s="7" t="s">
        <v>224</v>
      </c>
      <c r="B16" s="8" t="n">
        <v>2</v>
      </c>
      <c r="C16" s="9" t="s">
        <v>235</v>
      </c>
      <c r="D16" s="9" t="s">
        <v>235</v>
      </c>
      <c r="E16" s="4" t="s">
        <v>250</v>
      </c>
    </row>
    <row r="17" customFormat="false" ht="23.85" hidden="false" customHeight="false" outlineLevel="0" collapsed="false">
      <c r="A17" s="10" t="s">
        <v>251</v>
      </c>
      <c r="B17" s="11" t="n">
        <f aca="false">SUM(B2:B16)</f>
        <v>65</v>
      </c>
      <c r="C17" s="11" t="s">
        <v>252</v>
      </c>
      <c r="D17" s="11" t="s">
        <v>253</v>
      </c>
      <c r="E17" s="4"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2026-03-06T13:16:37Z</dcterms:created>
  <dc:creator>openpyxl</dc:creator>
  <dc:description/>
  <dc:language>en-US</dc:language>
  <cp:lastModifiedBy/>
  <dcterms:modified xsi:type="dcterms:W3CDTF">2026-03-06T13:16:37Z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